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autoCompressPictures="0"/>
  <mc:AlternateContent xmlns:mc="http://schemas.openxmlformats.org/markup-compatibility/2006">
    <mc:Choice Requires="x15">
      <x15ac:absPath xmlns:x15ac="http://schemas.microsoft.com/office/spreadsheetml/2010/11/ac" url="C:\Users\joeld\OneDrive\Desktop\"/>
    </mc:Choice>
  </mc:AlternateContent>
  <xr:revisionPtr revIDLastSave="0" documentId="13_ncr:1_{FDEFECC5-DA41-446A-B83B-EB243694B28C}" xr6:coauthVersionLast="47" xr6:coauthVersionMax="47" xr10:uidLastSave="{00000000-0000-0000-0000-000000000000}"/>
  <bookViews>
    <workbookView xWindow="28680" yWindow="-120" windowWidth="38640" windowHeight="1572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_xlnm._FilterDatabase" localSheetId="4" hidden="1">'Project Plan'!$B$9:$BI$9</definedName>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<sst xmlns="http://schemas.openxmlformats.org/spreadsheetml/2006/main" count="1656" uniqueCount="521">
  <si>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</si>
  <si>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</si>
  <si>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</si>
  <si>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</si>
  <si>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</si>
  <si>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</si>
  <si>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</si>
  <si>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</si>
  <si>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</si>
  <si>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</si>
  <si>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</si>
  <si>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</si>
  <si>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</si>
  <si>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</si>
  <si>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</si>
  <si>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</si>
  <si>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</si>
  <si>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</si>
  <si>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</si>
  <si>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</si>
  <si>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</si>
  <si>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</si>
  <si>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</si>
  <si>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</si>
  <si>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</si>
  <si>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</si>
  <si>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</si>
  <si>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</si>
  <si>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</si>
  <si>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</si>
  <si>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</si>
  <si>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</si>
  <si>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</si>
  <si>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</si>
  <si>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</si>
  <si>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</si>
  <si>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</si>
  <si>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</si>
  <si>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</si>
  <si>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</si>
  <si>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</si>
  <si>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</si>
  <si>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</si>
  <si>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</si>
  <si>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</si>
  <si>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</si>
  <si>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</si>
  <si>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</si>
  <si>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</si>
  <si>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</si>
  <si>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</si>
  <si>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</si>
  <si>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</si>
  <si>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</si>
  <si>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</si>
  <si>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</si>
  <si>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</si>
  <si>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</si>
  <si>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</si>
  <si>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</si>
  <si>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</si>
  <si>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</si>
  <si>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</si>
  <si>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</si>
  <si>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</si>
  <si>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</si>
  <si>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</si>
  <si>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</si>
  <si>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</si>
  <si>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</si>
  <si>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</si>
  <si>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</si>
  <si>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</si>
  <si>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</si>
  <si>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</si>
  <si>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</si>
  <si>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</si>
  <si>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</si>
  <si>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</si>
  <si>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</si>
  <si>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</si>
  <si>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</si>
  <si>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</si>
  <si>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</si>
  <si>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</si>
  <si>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</si>
  <si>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</si>
  <si>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</si>
  <si>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</si>
  <si>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</si>
  <si>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</si>
  <si>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</si>
  <si>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</si>
  <si>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</si>
  <si>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</si>
  <si>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</si>
  <si>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</si>
  <si>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</si>
  <si>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</si>
  <si>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</si>
  <si>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</si>
  <si>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</si>
  <si>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</si>
  <si>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</si>
  <si>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</si>
  <si>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</si>
  <si>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</si>
  <si>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</si>
  <si>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</si>
  <si>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</si>
  <si>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</si>
  <si>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</si>
  <si>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</si>
  <si>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</si>
  <si>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</si>
  <si>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</si>
  <si>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</si>
  <si>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</si>
  <si>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</si>
  <si>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</si>
  <si>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</si>
  <si>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</si>
  <si>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</si>
  <si>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</si>
  <si>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</si>
  <si>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</si>
  <si>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</si>
  <si>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</si>
  <si>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</si>
  <si>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</si>
  <si>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</si>
  <si>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</si>
  <si>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</si>
  <si>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</si>
  <si>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</si>
  <si>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</si>
  <si>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</si>
  <si>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</si>
  <si>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</si>
  <si>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</si>
  <si>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</si>
  <si>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</si>
  <si>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</si>
  <si>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</si>
  <si>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</si>
  <si>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</si>
  <si>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</si>
  <si>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</si>
  <si>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</si>
  <si>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</si>
  <si>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</si>
  <si>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</si>
  <si>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</si>
  <si>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</si>
  <si>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</si>
  <si>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</si>
  <si>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</si>
  <si>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</si>
  <si>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</si>
  <si>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</si>
  <si>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</si>
  <si>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</si>
  <si>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</si>
  <si>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</si>
  <si>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</si>
  <si>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</si>
  <si>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</si>
  <si>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</si>
  <si>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</si>
  <si>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</si>
  <si>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</si>
  <si>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</si>
  <si>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</si>
  <si>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</si>
  <si>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</si>
  <si>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</si>
  <si>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</si>
  <si>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</si>
  <si>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</si>
  <si>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</si>
  <si>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</si>
  <si>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</si>
  <si>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</si>
  <si>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</si>
  <si>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</si>
  <si>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</si>
  <si>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</si>
  <si>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</si>
  <si>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</si>
  <si>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</si>
  <si>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</si>
  <si>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</si>
  <si>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</si>
  <si>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</si>
  <si>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</si>
  <si>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</si>
  <si>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</si>
  <si>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</si>
  <si>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</si>
  <si>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</si>
  <si>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</si>
  <si>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</si>
  <si>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</si>
  <si>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</si>
  <si>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</si>
  <si>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</si>
  <si>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</si>
  <si>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</si>
  <si>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</si>
  <si>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</si>
  <si>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</si>
  <si>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</si>
  <si>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</si>
  <si>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</si>
  <si>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</si>
  <si>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</si>
  <si>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</si>
  <si>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</si>
  <si>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</si>
  <si>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</si>
  <si>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</si>
  <si>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</si>
  <si>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</si>
  <si>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</si>
  <si>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</si>
  <si>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</si>
  <si>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</si>
  <si>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</si>
  <si>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</si>
  <si>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</si>
  <si>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</si>
  <si>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</si>
  <si>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</si>
  <si>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</si>
  <si>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</si>
  <si>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</si>
  <si>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</si>
  <si>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</si>
  <si>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</si>
  <si>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</si>
  <si>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</si>
  <si>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</si>
  <si>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</si>
  <si>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</si>
  <si>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</si>
  <si>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</si>
  <si>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</si>
  <si>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</si>
  <si>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</si>
  <si>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</si>
  <si>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</si>
  <si>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</si>
  <si>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</si>
  <si>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</si>
  <si>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</si>
  <si>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</si>
  <si>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</si>
  <si>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</si>
  <si>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</si>
  <si>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</si>
  <si>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</si>
  <si>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</si>
  <si>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</si>
  <si>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</si>
  <si>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</si>
  <si>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</si>
  <si>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</si>
  <si>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</si>
  <si>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</si>
  <si>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</si>
  <si>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</si>
  <si>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</si>
  <si>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</si>
  <si>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</si>
  <si>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</si>
  <si>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</si>
  <si>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</si>
  <si>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</si>
  <si>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</si>
  <si>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</si>
  <si>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</si>
  <si>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</si>
  <si>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</si>
  <si>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</si>
  <si>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</si>
  <si>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</si>
  <si>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</si>
  <si>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</si>
  <si>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</si>
  <si>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</si>
  <si>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</si>
  <si>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</si>
  <si>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</si>
  <si>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</si>
  <si>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</si>
  <si>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</si>
  <si>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</si>
  <si>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</si>
  <si>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</si>
  <si>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</si>
  <si>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</si>
  <si>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</si>
  <si>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</si>
  <si>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</si>
  <si>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</si>
  <si>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</si>
  <si>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</si>
  <si>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</si>
  <si>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</si>
  <si>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</si>
  <si>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</si>
  <si>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</si>
  <si>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</si>
  <si>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</si>
  <si>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</si>
  <si>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</si>
  <si>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</si>
  <si>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</si>
  <si>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</si>
  <si>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</si>
  <si>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</si>
  <si>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</si>
  <si>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</si>
  <si>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</si>
  <si>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</si>
  <si>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</si>
  <si>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</si>
  <si>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</si>
  <si>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</si>
  <si>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</si>
  <si>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</si>
  <si>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</si>
  <si>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</si>
  <si>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</si>
  <si>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</si>
  <si>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</si>
  <si>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</si>
  <si>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</si>
  <si>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</si>
  <si>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</si>
  <si>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</si>
  <si>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</si>
  <si>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</si>
  <si>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</si>
  <si>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</si>
  <si>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</si>
  <si>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</si>
  <si>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</si>
  <si>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</si>
  <si>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</si>
  <si>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</si>
  <si>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</si>
  <si>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</si>
  <si>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</si>
  <si>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</si>
  <si>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</si>
  <si>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</si>
  <si>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</si>
  <si>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</si>
  <si>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</si>
  <si>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</si>
  <si>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</si>
  <si>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</si>
  <si>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</si>
  <si>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</si>
  <si>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</si>
  <si>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</si>
  <si>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</si>
  <si>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</si>
  <si>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</si>
  <si>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</si>
  <si>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</si>
  <si>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</si>
  <si>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</si>
  <si>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</si>
  <si>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</si>
  <si>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</si>
  <si>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</si>
  <si>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</si>
  <si>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</si>
  <si>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</si>
  <si>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</si>
  <si>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</si>
  <si>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</si>
  <si>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</si>
  <si>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</si>
  <si>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</si>
  <si>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</si>
  <si>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</si>
  <si>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</si>
  <si>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</si>
  <si>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</si>
  <si>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</si>
  <si>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</si>
  <si>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</si>
  <si>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</si>
  <si>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</si>
  <si>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</si>
  <si>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</si>
  <si>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</si>
  <si>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</si>
  <si>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</si>
  <si>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</si>
  <si>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</si>
  <si>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</si>
  <si>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</si>
  <si>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</si>
  <si>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</si>
  <si>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</si>
  <si>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</si>
  <si>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</si>
  <si>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</si>
  <si>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</si>
  <si>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</si>
  <si>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</si>
  <si>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</si>
  <si>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</si>
  <si>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</si>
  <si>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</si>
  <si>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</si>
  <si>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</si>
  <si>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</si>
  <si>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</si>
  <si>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</si>
  <si>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</si>
  <si>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</si>
  <si>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</si>
  <si>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</si>
  <si>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</si>
  <si>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</si>
  <si>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</si>
  <si>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</si>
  <si>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</si>
  <si>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</si>
  <si>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</si>
  <si>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</si>
  <si>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</si>
  <si>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</si>
  <si>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</si>
  <si>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</si>
  <si>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</si>
  <si>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</si>
  <si>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</si>
  <si>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</si>
  <si>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</si>
  <si>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</si>
  <si>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</si>
  <si>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</si>
  <si>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</si>
  <si>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</si>
  <si>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</si>
  <si>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</si>
  <si>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</si>
  <si>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</si>
  <si>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</si>
  <si>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</si>
  <si>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</si>
  <si>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</si>
  <si>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</si>
  <si>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</si>
  <si>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</si>
  <si>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</si>
  <si>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</si>
  <si>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</si>
  <si>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</si>
  <si>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</si>
  <si>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</si>
  <si>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</si>
  <si>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</si>
  <si>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</si>
  <si>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</si>
  <si>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</si>
  <si>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</si>
  <si>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</si>
  <si>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</si>
  <si>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</si>
  <si>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</si>
  <si>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Joel Demontigny</t>
  </si>
  <si>
    <t>4241231052234041979077869768946813314141597413</t>
  </si>
  <si>
    <t>Submit proposal for project draft</t>
  </si>
  <si>
    <t>Final presentation</t>
  </si>
  <si>
    <t>In Progress</t>
  </si>
  <si>
    <t>Presentation assignments and dry run</t>
  </si>
  <si>
    <t>1</t>
  </si>
  <si>
    <t>2</t>
  </si>
  <si>
    <t>3</t>
  </si>
  <si>
    <t>4</t>
  </si>
  <si>
    <t>5</t>
  </si>
  <si>
    <t>6</t>
  </si>
  <si>
    <t>7</t>
  </si>
  <si>
    <t>8</t>
  </si>
  <si>
    <t>Data collection/ETL</t>
  </si>
  <si>
    <t>Data tables creation and ERD</t>
  </si>
  <si>
    <t>Joel</t>
  </si>
  <si>
    <t>Gosaye</t>
  </si>
  <si>
    <t>Ghislain</t>
  </si>
  <si>
    <t>Ravina</t>
  </si>
  <si>
    <t>Ron</t>
  </si>
  <si>
    <t>Ron/Ravina</t>
  </si>
  <si>
    <t>All</t>
  </si>
  <si>
    <t>Timeline creation and logistics(GitHub, MySQL, etc)</t>
  </si>
  <si>
    <t>Joel/Ron</t>
  </si>
  <si>
    <t>Tableau Visualization</t>
  </si>
  <si>
    <t>Joel, Gosaye</t>
  </si>
  <si>
    <t>Create Machine Learning Model - Supervised</t>
  </si>
  <si>
    <t>Optimize the Machine Learning Model (Layers, Epochs, etc)</t>
  </si>
  <si>
    <t>7|</t>
  </si>
  <si>
    <t>4 SF 0|</t>
  </si>
  <si>
    <t>project-sports-analytics-NHL-3.0</t>
  </si>
  <si>
    <t>W38</t>
  </si>
  <si>
    <t>W39</t>
  </si>
  <si>
    <t>S_TE|1|772.6|86.1|791.2|97.8</t>
  </si>
  <si>
    <t>S_TE|7|772.6|104.1|791.2|115.8</t>
  </si>
  <si>
    <t>S_TE|2|772.6|122.1|832|133.8</t>
  </si>
  <si>
    <t>S_TE|10|813.6|140.1|832|151.8</t>
  </si>
  <si>
    <t>S_TE|12|834|158.1|852.6|169.8</t>
  </si>
  <si>
    <t>S_TE|13|834|176.1|852.6|187.8</t>
  </si>
  <si>
    <t>S_TE|11|915.8|194.1|933.6|205.8</t>
  </si>
  <si>
    <t>S_TE|5|956.5|212.1|974.3|223.8</t>
  </si>
  <si>
    <t>S_TE|6|976.3|230.1|994.7|241.8</t>
  </si>
  <si>
    <t>W40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</si>
</sst>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7"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i/>
      <sz val="11"/>
      <color rgb="FF000000"/>
      <name val="Calibri"/>
      <family val="2"/>
      <scheme val="minor"/>
    </font>
    <font>
      <sz val="10"/>
      <color rgb="FFD3D3D3"/>
      <name val="Wingdings 3"/>
      <family val="1"/>
      <charset val="2"/>
    </font>
    <font>
      <sz val="10"/>
      <color rgb="FF6DD9FF"/>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style="thin">
        <color rgb="FFCCFFFF"/>
      </bottom>
      <diagonal/>
    </border>
    <border>
      <left/>
      <right/>
      <top style="thin">
        <color rgb="FFCCFFFF"/>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05">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2" fillId="0" borderId="7" xfId="0" applyFont="1" applyBorder="1" applyAlignment="1">
      <alignment horizontal="left" vertical="center"/>
    </xf>
    <xf numFmtId="0" fontId="38" fillId="0" borderId="7" xfId="0" applyFont="1" applyBorder="1" applyAlignment="1">
      <alignment horizontal="center"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0" fontId="32" fillId="0" borderId="7" xfId="0" applyFont="1" applyBorder="1" applyAlignment="1">
      <alignment horizontal="center" vertical="center"/>
    </xf>
    <xf numFmtId="9" fontId="32" fillId="0" borderId="7" xfId="0" applyNumberFormat="1" applyFont="1" applyBorder="1" applyAlignment="1">
      <alignment horizontal="center" vertical="center"/>
    </xf>
    <xf numFmtId="0" fontId="32" fillId="0" borderId="7" xfId="0" applyFont="1" applyBorder="1" applyAlignment="1">
      <alignment horizontal="left" vertical="center" wrapText="1"/>
    </xf>
    <xf numFmtId="166" fontId="32" fillId="0" borderId="7" xfId="0" applyNumberFormat="1" applyFont="1" applyBorder="1" applyAlignment="1">
      <alignment horizontal="right" vertical="center"/>
    </xf>
    <xf numFmtId="0" fontId="37" fillId="45" borderId="7" xfId="0" applyFont="1" applyFill="1" applyBorder="1" applyAlignment="1">
      <alignment horizontal="center" vertical="center"/>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0" fillId="52" borderId="0" xfId="0" applyFont="1" applyFill="1"/>
    <xf numFmtId="0" fontId="42" fillId="6" borderId="0" xfId="0" applyFont="1" applyFill="1" applyAlignment="1">
      <alignment horizontal="left" vertical="center"/>
    </xf>
    <xf numFmtId="0" fontId="42" fillId="28" borderId="0" xfId="0" applyFont="1" applyFill="1" applyAlignment="1">
      <alignment horizontal="left" vertical="center"/>
    </xf>
    <xf numFmtId="0" fontId="0" fillId="0" borderId="5" xfId="0" applyBorder="1"/>
    <xf numFmtId="0" fontId="43" fillId="52" borderId="0" xfId="0" applyFont="1" applyFill="1" applyAlignment="1">
      <alignment horizontal="center" vertical="center"/>
    </xf>
    <xf numFmtId="165" fontId="0" fillId="0" borderId="7" xfId="0" applyNumberFormat="1" applyBorder="1" applyAlignment="1">
      <alignment wrapText="1"/>
    </xf>
    <xf numFmtId="0" fontId="32" fillId="35" borderId="6" xfId="0" applyFont="1" applyFill="1" applyBorder="1" applyAlignment="1">
      <alignment horizontal="left" vertical="center"/>
    </xf>
    <xf numFmtId="0" fontId="45" fillId="0" borderId="7" xfId="0" applyFont="1" applyBorder="1" applyAlignment="1">
      <alignment horizontal="center" vertical="center"/>
    </xf>
    <xf numFmtId="49" fontId="32" fillId="0" borderId="0" xfId="0" applyNumberFormat="1" applyFont="1" applyAlignment="1">
      <alignment horizontal="left" vertical="center"/>
    </xf>
    <xf numFmtId="49" fontId="39"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2" fillId="0" borderId="7" xfId="0" applyNumberFormat="1" applyFont="1" applyBorder="1" applyAlignment="1">
      <alignment horizontal="left" vertical="center"/>
    </xf>
    <xf numFmtId="0" fontId="32" fillId="28" borderId="8" xfId="0" applyFont="1" applyFill="1" applyBorder="1" applyAlignment="1">
      <alignment horizontal="center" vertical="center"/>
    </xf>
    <xf numFmtId="49" fontId="32" fillId="28" borderId="8" xfId="0" applyNumberFormat="1" applyFont="1" applyFill="1" applyBorder="1" applyAlignment="1">
      <alignment horizontal="center" vertical="center"/>
    </xf>
    <xf numFmtId="9" fontId="32" fillId="28" borderId="8" xfId="0" applyNumberFormat="1" applyFont="1" applyFill="1" applyBorder="1" applyAlignment="1">
      <alignment horizontal="center" vertical="center"/>
    </xf>
    <xf numFmtId="0" fontId="32" fillId="28" borderId="8" xfId="0" applyFont="1" applyFill="1" applyBorder="1" applyAlignment="1">
      <alignment horizontal="center" vertical="center" wrapText="1"/>
    </xf>
    <xf numFmtId="0" fontId="32" fillId="28" borderId="6" xfId="0" applyFont="1" applyFill="1" applyBorder="1" applyAlignment="1">
      <alignment horizontal="center" vertical="center"/>
    </xf>
    <xf numFmtId="0" fontId="42" fillId="28" borderId="7" xfId="0" applyFont="1" applyFill="1" applyBorder="1" applyAlignment="1">
      <alignment horizontal="center" vertical="center"/>
    </xf>
    <xf numFmtId="0" fontId="42" fillId="43" borderId="7" xfId="0" applyFont="1" applyFill="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32" fillId="7" borderId="6" xfId="0" applyFont="1" applyFill="1" applyBorder="1" applyAlignment="1">
      <alignment horizontal="left" vertical="center"/>
    </xf>
    <xf numFmtId="0" fontId="46" fillId="0" borderId="7" xfId="0" applyFont="1" applyBorder="1" applyAlignment="1">
      <alignment horizontal="center" vertical="center"/>
    </xf>
    <xf numFmtId="0" fontId="32" fillId="0" borderId="7" xfId="0" applyNumberFormat="1" applyFont="1" applyBorder="1" applyAlignment="1">
      <alignment horizontal="right" vertical="center"/>
    </xf>
    <xf numFmtId="165" fontId="32" fillId="0" borderId="7" xfId="0" applyNumberFormat="1" applyFont="1" applyBorder="1" applyAlignment="1">
      <alignment horizontal="right" vertical="center" wrapText="1"/>
    </xf>
    <xf numFmtId="0" fontId="32" fillId="38" borderId="6" xfId="0" applyFont="1" applyFill="1" applyBorder="1" applyAlignment="1">
      <alignment horizontal="left" vertical="center"/>
    </xf>
    <xf numFmtId="0" fontId="41" fillId="0" borderId="7" xfId="0" applyFont="1" applyBorder="1" applyAlignment="1">
      <alignment horizontal="center" vertical="center"/>
    </xf>
    <xf numFmtId="0" fontId="32" fillId="0" borderId="12" xfId="0" applyFont="1" applyBorder="1" applyAlignment="1">
      <alignment horizontal="center" vertical="center"/>
    </xf>
    <xf numFmtId="49" fontId="36" fillId="0" borderId="12" xfId="0" applyNumberFormat="1" applyFont="1" applyBorder="1" applyAlignment="1">
      <alignment horizontal="left" vertical="center"/>
    </xf>
    <xf numFmtId="0" fontId="35" fillId="0" borderId="12" xfId="0" applyFont="1" applyBorder="1" applyAlignment="1">
      <alignment horizontal="left" vertical="center"/>
    </xf>
    <xf numFmtId="0" fontId="36" fillId="0" borderId="12" xfId="0" applyFont="1" applyBorder="1" applyAlignment="1">
      <alignment horizontal="left" vertical="center"/>
    </xf>
    <xf numFmtId="9" fontId="35" fillId="0" borderId="12" xfId="0" applyNumberFormat="1" applyFont="1" applyBorder="1" applyAlignment="1">
      <alignment horizontal="left" vertical="center"/>
    </xf>
    <xf numFmtId="0" fontId="35" fillId="0" borderId="12" xfId="0" applyFont="1" applyBorder="1" applyAlignment="1">
      <alignment horizontal="left" vertical="center" wrapText="1"/>
    </xf>
    <xf numFmtId="0" fontId="32" fillId="0" borderId="10" xfId="0" applyFont="1" applyBorder="1" applyAlignment="1">
      <alignment horizontal="center" vertical="center"/>
    </xf>
    <xf numFmtId="0" fontId="42" fillId="31" borderId="11" xfId="0" applyFont="1" applyFill="1" applyBorder="1" applyAlignment="1">
      <alignment horizontal="center" vertical="center"/>
    </xf>
    <xf numFmtId="0" fontId="0" fillId="0" borderId="7" xfId="0" applyFill="1" applyBorder="1"/>
    <xf numFmtId="0" fontId="32" fillId="0" borderId="9" xfId="0" applyFont="1" applyBorder="1" applyAlignment="1">
      <alignment horizontal="center" vertical="center"/>
    </xf>
    <xf numFmtId="49" fontId="32" fillId="0" borderId="9" xfId="0" applyNumberFormat="1" applyFont="1" applyBorder="1" applyAlignment="1">
      <alignment horizontal="left" vertical="center"/>
    </xf>
    <xf numFmtId="0" fontId="44" fillId="0" borderId="9" xfId="0" applyFont="1" applyBorder="1" applyAlignment="1">
      <alignment horizontal="left" wrapText="1"/>
    </xf>
    <xf numFmtId="0" fontId="33" fillId="0" borderId="9" xfId="0" applyFont="1" applyBorder="1" applyAlignment="1">
      <alignment horizontal="center" vertical="center"/>
    </xf>
    <xf numFmtId="0" fontId="32" fillId="0" borderId="9" xfId="0" applyFont="1" applyBorder="1" applyAlignment="1">
      <alignment horizontal="left" vertical="center"/>
    </xf>
    <xf numFmtId="0" fontId="32" fillId="0" borderId="9" xfId="0" applyFont="1" applyBorder="1" applyAlignment="1">
      <alignment horizontal="right" vertical="center"/>
    </xf>
    <xf numFmtId="14" fontId="32" fillId="0" borderId="9" xfId="0" applyNumberFormat="1"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Font="1" applyBorder="1" applyAlignment="1">
      <alignment horizontal="center" vertical="center" wrapText="1"/>
    </xf>
    <xf numFmtId="0" fontId="0" fillId="0" borderId="9" xfId="0" applyBorder="1"/>
    <xf numFmtId="49" fontId="32" fillId="0" borderId="7" xfId="0" applyNumberFormat="1" applyFont="1" applyFill="1" applyBorder="1" applyAlignment="1">
      <alignment horizontal="left" vertical="center"/>
    </xf>
    <xf numFmtId="0" fontId="32" fillId="0" borderId="7" xfId="0" applyFont="1" applyFill="1" applyBorder="1" applyAlignment="1">
      <alignment horizontal="left" vertical="center" wrapText="1"/>
    </xf>
    <xf numFmtId="0" fontId="38" fillId="0" borderId="7" xfId="0" applyFont="1" applyFill="1" applyBorder="1" applyAlignment="1">
      <alignment horizontal="center" vertical="center"/>
    </xf>
    <xf numFmtId="0" fontId="32" fillId="0" borderId="7" xfId="0" applyFont="1" applyFill="1" applyBorder="1" applyAlignment="1">
      <alignment horizontal="left" vertical="center"/>
    </xf>
    <xf numFmtId="166" fontId="32" fillId="0" borderId="7" xfId="0" applyNumberFormat="1" applyFont="1" applyFill="1" applyBorder="1" applyAlignment="1">
      <alignment horizontal="right" vertical="center"/>
    </xf>
    <xf numFmtId="165" fontId="32" fillId="0" borderId="7" xfId="0" applyNumberFormat="1" applyFont="1" applyFill="1" applyBorder="1" applyAlignment="1">
      <alignment horizontal="right" vertical="center"/>
    </xf>
    <xf numFmtId="0" fontId="32" fillId="0" borderId="7" xfId="0" applyFont="1" applyFill="1" applyBorder="1" applyAlignment="1">
      <alignment horizontal="right" vertical="center"/>
    </xf>
    <xf numFmtId="0" fontId="32" fillId="0" borderId="7" xfId="0" applyNumberFormat="1" applyFont="1" applyFill="1" applyBorder="1" applyAlignment="1">
      <alignment horizontal="right" vertical="center"/>
    </xf>
    <xf numFmtId="0" fontId="32" fillId="0" borderId="7" xfId="0" applyFont="1" applyFill="1" applyBorder="1" applyAlignment="1">
      <alignment horizontal="center" vertical="center"/>
    </xf>
    <xf numFmtId="9" fontId="32" fillId="0" borderId="7" xfId="0" applyNumberFormat="1" applyFont="1" applyFill="1" applyBorder="1" applyAlignment="1">
      <alignment horizontal="center" vertical="center"/>
    </xf>
    <xf numFmtId="165" fontId="32" fillId="0" borderId="7" xfId="0" applyNumberFormat="1" applyFont="1" applyFill="1" applyBorder="1" applyAlignment="1">
      <alignment horizontal="right" vertical="center" wrapText="1"/>
    </xf>
    <xf numFmtId="0" fontId="32" fillId="0" borderId="7" xfId="0" applyNumberFormat="1" applyFont="1" applyFill="1" applyBorder="1" applyAlignment="1">
      <alignment horizontal="left" vertical="center"/>
    </xf>
    <xf numFmtId="0" fontId="7" fillId="0" borderId="7" xfId="0" applyFont="1" applyBorder="1" applyAlignment="1">
      <alignment wrapText="1"/>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108585</xdr:colOff>
      <xdr:row>5</xdr:row>
      <xdr:rowOff>76200</xdr:rowOff>
    </xdr:from>
    <xdr:to>
      <xdr:col>13</xdr:col>
      <xdr:colOff>826135</xdr:colOff>
      <xdr:row>6</xdr:row>
      <xdr:rowOff>12700</xdr:rowOff>
    </xdr:to>
    <xdr:sp macro="LoadNewGanttFormOnDblClick" textlink="">
      <xdr:nvSpPr>
        <xdr:cNvPr id="27" name="SG_Project">
          <a:extLst>
            <a:ext uri="{FF2B5EF4-FFF2-40B4-BE49-F238E27FC236}">
              <a16:creationId xmlns:a16="http://schemas.microsoft.com/office/drawing/2014/main" id="{71D2F233-EF3B-290E-449C-C850FE60232E}"/>
            </a:ext>
          </a:extLst>
        </xdr:cNvPr>
        <xdr:cNvSpPr/>
      </xdr:nvSpPr>
      <xdr:spPr>
        <a:xfrm>
          <a:off x="28956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project-sports-analytics-NHL-3.0</a:t>
          </a:r>
        </a:p>
      </xdr:txBody>
    </xdr:sp>
    <xdr:clientData/>
  </xdr:twoCellAnchor>
  <xdr:twoCellAnchor>
    <xdr:from>
      <xdr:col>60</xdr:col>
      <xdr:colOff>169545</xdr:colOff>
      <xdr:row>5</xdr:row>
      <xdr:rowOff>50800</xdr:rowOff>
    </xdr:from>
    <xdr:to>
      <xdr:col>73</xdr:col>
      <xdr:colOff>675639</xdr:colOff>
      <xdr:row>6</xdr:row>
      <xdr:rowOff>0</xdr:rowOff>
    </xdr:to>
    <xdr:sp macro="" textlink="">
      <xdr:nvSpPr>
        <xdr:cNvPr id="200" name="ST_Mo_9/18/2023">
          <a:extLst>
            <a:ext uri="{FF2B5EF4-FFF2-40B4-BE49-F238E27FC236}">
              <a16:creationId xmlns:a16="http://schemas.microsoft.com/office/drawing/2014/main" id="{89E7282E-FD90-5215-6186-98E49BD26B9F}"/>
            </a:ext>
          </a:extLst>
        </xdr:cNvPr>
        <xdr:cNvSpPr/>
      </xdr:nvSpPr>
      <xdr:spPr>
        <a:xfrm>
          <a:off x="9799320" y="50800"/>
          <a:ext cx="9602469"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September-2023</a:t>
          </a:r>
        </a:p>
      </xdr:txBody>
    </xdr:sp>
    <xdr:clientData/>
  </xdr:twoCellAnchor>
  <xdr:twoCellAnchor>
    <xdr:from>
      <xdr:col>73</xdr:col>
      <xdr:colOff>681989</xdr:colOff>
      <xdr:row>5</xdr:row>
      <xdr:rowOff>50800</xdr:rowOff>
    </xdr:from>
    <xdr:to>
      <xdr:col>81</xdr:col>
      <xdr:colOff>645159</xdr:colOff>
      <xdr:row>6</xdr:row>
      <xdr:rowOff>0</xdr:rowOff>
    </xdr:to>
    <xdr:sp macro="" textlink="">
      <xdr:nvSpPr>
        <xdr:cNvPr id="201" name="ST_Mo_10/1/2023">
          <a:extLst>
            <a:ext uri="{FF2B5EF4-FFF2-40B4-BE49-F238E27FC236}">
              <a16:creationId xmlns:a16="http://schemas.microsoft.com/office/drawing/2014/main" id="{722EB59B-5769-CB71-F7EF-167D775415B8}"/>
            </a:ext>
          </a:extLst>
        </xdr:cNvPr>
        <xdr:cNvSpPr/>
      </xdr:nvSpPr>
      <xdr:spPr>
        <a:xfrm>
          <a:off x="19408139" y="50800"/>
          <a:ext cx="590677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October-2023</a:t>
          </a:r>
        </a:p>
      </xdr:txBody>
    </xdr:sp>
    <xdr:clientData/>
  </xdr:twoCellAnchor>
  <xdr:twoCellAnchor>
    <xdr:from>
      <xdr:col>61</xdr:col>
      <xdr:colOff>1270</xdr:colOff>
      <xdr:row>9</xdr:row>
      <xdr:rowOff>42672</xdr:rowOff>
    </xdr:from>
    <xdr:to>
      <xdr:col>61</xdr:col>
      <xdr:colOff>234950</xdr:colOff>
      <xdr:row>9</xdr:row>
      <xdr:rowOff>193548</xdr:rowOff>
    </xdr:to>
    <xdr:sp macro="ShapeClicked" textlink="">
      <xdr:nvSpPr>
        <xdr:cNvPr id="208" name="S_TE_1">
          <a:extLst>
            <a:ext uri="{FF2B5EF4-FFF2-40B4-BE49-F238E27FC236}">
              <a16:creationId xmlns:a16="http://schemas.microsoft.com/office/drawing/2014/main" id="{1B7C2188-8ED9-29E7-66AB-EE04F9DD7C2C}"/>
            </a:ext>
          </a:extLst>
        </xdr:cNvPr>
        <xdr:cNvSpPr/>
      </xdr:nvSpPr>
      <xdr:spPr>
        <a:xfrm>
          <a:off x="9812020" y="10904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10</xdr:row>
      <xdr:rowOff>42672</xdr:rowOff>
    </xdr:from>
    <xdr:to>
      <xdr:col>61</xdr:col>
      <xdr:colOff>234950</xdr:colOff>
      <xdr:row>10</xdr:row>
      <xdr:rowOff>193548</xdr:rowOff>
    </xdr:to>
    <xdr:sp macro="ShapeClicked" textlink="">
      <xdr:nvSpPr>
        <xdr:cNvPr id="209" name="S_TE_7">
          <a:extLst>
            <a:ext uri="{FF2B5EF4-FFF2-40B4-BE49-F238E27FC236}">
              <a16:creationId xmlns:a16="http://schemas.microsoft.com/office/drawing/2014/main" id="{7302E09D-EB2D-8D88-543B-4843E4E66FA9}"/>
            </a:ext>
          </a:extLst>
        </xdr:cNvPr>
        <xdr:cNvSpPr/>
      </xdr:nvSpPr>
      <xdr:spPr>
        <a:xfrm>
          <a:off x="9812020" y="13190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11</xdr:row>
      <xdr:rowOff>42672</xdr:rowOff>
    </xdr:from>
    <xdr:to>
      <xdr:col>63</xdr:col>
      <xdr:colOff>238760</xdr:colOff>
      <xdr:row>11</xdr:row>
      <xdr:rowOff>193548</xdr:rowOff>
    </xdr:to>
    <xdr:sp macro="ShapeClicked" textlink="">
      <xdr:nvSpPr>
        <xdr:cNvPr id="210" name="S_TE_2">
          <a:extLst>
            <a:ext uri="{FF2B5EF4-FFF2-40B4-BE49-F238E27FC236}">
              <a16:creationId xmlns:a16="http://schemas.microsoft.com/office/drawing/2014/main" id="{EEF62E97-6BFF-B0D8-479A-A0B6B415C847}"/>
            </a:ext>
          </a:extLst>
        </xdr:cNvPr>
        <xdr:cNvSpPr/>
      </xdr:nvSpPr>
      <xdr:spPr>
        <a:xfrm>
          <a:off x="9812020" y="1547622"/>
          <a:ext cx="75184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5080</xdr:colOff>
      <xdr:row>12</xdr:row>
      <xdr:rowOff>42672</xdr:rowOff>
    </xdr:from>
    <xdr:to>
      <xdr:col>63</xdr:col>
      <xdr:colOff>238761</xdr:colOff>
      <xdr:row>12</xdr:row>
      <xdr:rowOff>193548</xdr:rowOff>
    </xdr:to>
    <xdr:sp macro="ShapeClicked" textlink="">
      <xdr:nvSpPr>
        <xdr:cNvPr id="212" name="S_TE_10">
          <a:extLst>
            <a:ext uri="{FF2B5EF4-FFF2-40B4-BE49-F238E27FC236}">
              <a16:creationId xmlns:a16="http://schemas.microsoft.com/office/drawing/2014/main" id="{571E5EB5-093B-6633-D842-E32578FA4983}"/>
            </a:ext>
          </a:extLst>
        </xdr:cNvPr>
        <xdr:cNvSpPr/>
      </xdr:nvSpPr>
      <xdr:spPr>
        <a:xfrm>
          <a:off x="10330180" y="1776222"/>
          <a:ext cx="233681"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13</xdr:row>
      <xdr:rowOff>42672</xdr:rowOff>
    </xdr:from>
    <xdr:to>
      <xdr:col>64</xdr:col>
      <xdr:colOff>240665</xdr:colOff>
      <xdr:row>13</xdr:row>
      <xdr:rowOff>193548</xdr:rowOff>
    </xdr:to>
    <xdr:sp macro="ShapeClicked" textlink="">
      <xdr:nvSpPr>
        <xdr:cNvPr id="213" name="S_TE_12">
          <a:extLst>
            <a:ext uri="{FF2B5EF4-FFF2-40B4-BE49-F238E27FC236}">
              <a16:creationId xmlns:a16="http://schemas.microsoft.com/office/drawing/2014/main" id="{236DADE8-2341-3FAC-B325-BEC5FC473CA9}"/>
            </a:ext>
          </a:extLst>
        </xdr:cNvPr>
        <xdr:cNvSpPr/>
      </xdr:nvSpPr>
      <xdr:spPr>
        <a:xfrm>
          <a:off x="10589260" y="2004822"/>
          <a:ext cx="23368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14</xdr:row>
      <xdr:rowOff>42672</xdr:rowOff>
    </xdr:from>
    <xdr:to>
      <xdr:col>64</xdr:col>
      <xdr:colOff>240665</xdr:colOff>
      <xdr:row>14</xdr:row>
      <xdr:rowOff>193548</xdr:rowOff>
    </xdr:to>
    <xdr:sp macro="ShapeClicked" textlink="">
      <xdr:nvSpPr>
        <xdr:cNvPr id="214" name="S_TE_13">
          <a:extLst>
            <a:ext uri="{FF2B5EF4-FFF2-40B4-BE49-F238E27FC236}">
              <a16:creationId xmlns:a16="http://schemas.microsoft.com/office/drawing/2014/main" id="{10020757-1AC9-1982-B577-0FDC9A575BF2}"/>
            </a:ext>
          </a:extLst>
        </xdr:cNvPr>
        <xdr:cNvSpPr/>
      </xdr:nvSpPr>
      <xdr:spPr>
        <a:xfrm>
          <a:off x="10589260" y="22334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14605</xdr:colOff>
      <xdr:row>15</xdr:row>
      <xdr:rowOff>42672</xdr:rowOff>
    </xdr:from>
    <xdr:to>
      <xdr:col>68</xdr:col>
      <xdr:colOff>248286</xdr:colOff>
      <xdr:row>15</xdr:row>
      <xdr:rowOff>193548</xdr:rowOff>
    </xdr:to>
    <xdr:sp macro="ShapeClicked" textlink="">
      <xdr:nvSpPr>
        <xdr:cNvPr id="215" name="S_TE_11">
          <a:extLst>
            <a:ext uri="{FF2B5EF4-FFF2-40B4-BE49-F238E27FC236}">
              <a16:creationId xmlns:a16="http://schemas.microsoft.com/office/drawing/2014/main" id="{EF78E239-58E0-CD31-4BD2-9993E7A1B22D}"/>
            </a:ext>
          </a:extLst>
        </xdr:cNvPr>
        <xdr:cNvSpPr/>
      </xdr:nvSpPr>
      <xdr:spPr>
        <a:xfrm>
          <a:off x="11625580" y="2462022"/>
          <a:ext cx="233681"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18415</xdr:colOff>
      <xdr:row>16</xdr:row>
      <xdr:rowOff>42672</xdr:rowOff>
    </xdr:from>
    <xdr:to>
      <xdr:col>70</xdr:col>
      <xdr:colOff>252095</xdr:colOff>
      <xdr:row>16</xdr:row>
      <xdr:rowOff>193548</xdr:rowOff>
    </xdr:to>
    <xdr:sp macro="ShapeClicked" textlink="">
      <xdr:nvSpPr>
        <xdr:cNvPr id="216" name="S_TE_5">
          <a:extLst>
            <a:ext uri="{FF2B5EF4-FFF2-40B4-BE49-F238E27FC236}">
              <a16:creationId xmlns:a16="http://schemas.microsoft.com/office/drawing/2014/main" id="{3181D6F9-67B8-405D-5E45-50981DB3CA96}"/>
            </a:ext>
          </a:extLst>
        </xdr:cNvPr>
        <xdr:cNvSpPr/>
      </xdr:nvSpPr>
      <xdr:spPr>
        <a:xfrm>
          <a:off x="12143740" y="26906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20320</xdr:colOff>
      <xdr:row>17</xdr:row>
      <xdr:rowOff>42672</xdr:rowOff>
    </xdr:from>
    <xdr:to>
      <xdr:col>71</xdr:col>
      <xdr:colOff>254000</xdr:colOff>
      <xdr:row>17</xdr:row>
      <xdr:rowOff>193548</xdr:rowOff>
    </xdr:to>
    <xdr:sp macro="ShapeClicked" textlink="">
      <xdr:nvSpPr>
        <xdr:cNvPr id="217" name="S_TE_6">
          <a:extLst>
            <a:ext uri="{FF2B5EF4-FFF2-40B4-BE49-F238E27FC236}">
              <a16:creationId xmlns:a16="http://schemas.microsoft.com/office/drawing/2014/main" id="{765DA2AE-482F-30C8-6F32-0593C4658904}"/>
            </a:ext>
          </a:extLst>
        </xdr:cNvPr>
        <xdr:cNvSpPr/>
      </xdr:nvSpPr>
      <xdr:spPr>
        <a:xfrm>
          <a:off x="12402820" y="29192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11</xdr:row>
      <xdr:rowOff>42672</xdr:rowOff>
    </xdr:from>
    <xdr:to>
      <xdr:col>62</xdr:col>
      <xdr:colOff>236855</xdr:colOff>
      <xdr:row>11</xdr:row>
      <xdr:rowOff>193548</xdr:rowOff>
    </xdr:to>
    <xdr:sp macro="ShapeClicked" textlink="">
      <xdr:nvSpPr>
        <xdr:cNvPr id="211" name="S_TP_2">
          <a:extLst>
            <a:ext uri="{FF2B5EF4-FFF2-40B4-BE49-F238E27FC236}">
              <a16:creationId xmlns:a16="http://schemas.microsoft.com/office/drawing/2014/main" id="{A000BAD0-38F1-F8E7-9424-E7B38319F8FB}"/>
            </a:ext>
          </a:extLst>
        </xdr:cNvPr>
        <xdr:cNvSpPr/>
      </xdr:nvSpPr>
      <xdr:spPr>
        <a:xfrm>
          <a:off x="9812020" y="1547622"/>
          <a:ext cx="49276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13970</xdr:colOff>
      <xdr:row>9</xdr:row>
      <xdr:rowOff>44577</xdr:rowOff>
    </xdr:from>
    <xdr:to>
      <xdr:col>75</xdr:col>
      <xdr:colOff>223520</xdr:colOff>
      <xdr:row>9</xdr:row>
      <xdr:rowOff>193548</xdr:rowOff>
    </xdr:to>
    <xdr:sp macro="ShapeClicked" textlink="">
      <xdr:nvSpPr>
        <xdr:cNvPr id="218" name="S_TGB_1">
          <a:extLst>
            <a:ext uri="{FF2B5EF4-FFF2-40B4-BE49-F238E27FC236}">
              <a16:creationId xmlns:a16="http://schemas.microsoft.com/office/drawing/2014/main" id="{69131058-CA88-C938-E8EF-EB76472B0BD4}"/>
            </a:ext>
          </a:extLst>
        </xdr:cNvPr>
        <xdr:cNvSpPr/>
      </xdr:nvSpPr>
      <xdr:spPr>
        <a:xfrm>
          <a:off x="9824720" y="10923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Submit proposal for </a:t>
          </a:r>
        </a:p>
      </xdr:txBody>
    </xdr:sp>
    <xdr:clientData/>
  </xdr:twoCellAnchor>
  <xdr:twoCellAnchor>
    <xdr:from>
      <xdr:col>61</xdr:col>
      <xdr:colOff>13970</xdr:colOff>
      <xdr:row>10</xdr:row>
      <xdr:rowOff>44577</xdr:rowOff>
    </xdr:from>
    <xdr:to>
      <xdr:col>75</xdr:col>
      <xdr:colOff>223520</xdr:colOff>
      <xdr:row>10</xdr:row>
      <xdr:rowOff>193548</xdr:rowOff>
    </xdr:to>
    <xdr:sp macro="ShapeClicked" textlink="">
      <xdr:nvSpPr>
        <xdr:cNvPr id="219" name="S_TGB_7">
          <a:extLst>
            <a:ext uri="{FF2B5EF4-FFF2-40B4-BE49-F238E27FC236}">
              <a16:creationId xmlns:a16="http://schemas.microsoft.com/office/drawing/2014/main" id="{A280670A-B40D-217D-78C5-64BAA2A3B830}"/>
            </a:ext>
          </a:extLst>
        </xdr:cNvPr>
        <xdr:cNvSpPr/>
      </xdr:nvSpPr>
      <xdr:spPr>
        <a:xfrm>
          <a:off x="9824720" y="13209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Timeline creation an</a:t>
          </a:r>
        </a:p>
      </xdr:txBody>
    </xdr:sp>
    <xdr:clientData/>
  </xdr:twoCellAnchor>
  <xdr:twoCellAnchor>
    <xdr:from>
      <xdr:col>61</xdr:col>
      <xdr:colOff>13970</xdr:colOff>
      <xdr:row>11</xdr:row>
      <xdr:rowOff>44577</xdr:rowOff>
    </xdr:from>
    <xdr:to>
      <xdr:col>75</xdr:col>
      <xdr:colOff>223520</xdr:colOff>
      <xdr:row>11</xdr:row>
      <xdr:rowOff>193548</xdr:rowOff>
    </xdr:to>
    <xdr:sp macro="ShapeClicked" textlink="">
      <xdr:nvSpPr>
        <xdr:cNvPr id="220" name="S_TGB_2">
          <a:extLst>
            <a:ext uri="{FF2B5EF4-FFF2-40B4-BE49-F238E27FC236}">
              <a16:creationId xmlns:a16="http://schemas.microsoft.com/office/drawing/2014/main" id="{45719B64-7A60-9F2E-AEBA-1160C9B22ADD}"/>
            </a:ext>
          </a:extLst>
        </xdr:cNvPr>
        <xdr:cNvSpPr/>
      </xdr:nvSpPr>
      <xdr:spPr>
        <a:xfrm>
          <a:off x="9824720" y="1549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Data collection/ETL</a:t>
          </a:r>
        </a:p>
      </xdr:txBody>
    </xdr:sp>
    <xdr:clientData/>
  </xdr:twoCellAnchor>
  <xdr:twoCellAnchor>
    <xdr:from>
      <xdr:col>63</xdr:col>
      <xdr:colOff>19685</xdr:colOff>
      <xdr:row>12</xdr:row>
      <xdr:rowOff>44577</xdr:rowOff>
    </xdr:from>
    <xdr:to>
      <xdr:col>77</xdr:col>
      <xdr:colOff>229236</xdr:colOff>
      <xdr:row>12</xdr:row>
      <xdr:rowOff>193548</xdr:rowOff>
    </xdr:to>
    <xdr:sp macro="ShapeClicked" textlink="">
      <xdr:nvSpPr>
        <xdr:cNvPr id="221" name="S_TGB_10">
          <a:extLst>
            <a:ext uri="{FF2B5EF4-FFF2-40B4-BE49-F238E27FC236}">
              <a16:creationId xmlns:a16="http://schemas.microsoft.com/office/drawing/2014/main" id="{8A547B99-1C03-5191-5D25-47E3B308C75D}"/>
            </a:ext>
          </a:extLst>
        </xdr:cNvPr>
        <xdr:cNvSpPr/>
      </xdr:nvSpPr>
      <xdr:spPr>
        <a:xfrm>
          <a:off x="10344785" y="1778127"/>
          <a:ext cx="3810001"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Data tables creation</a:t>
          </a:r>
        </a:p>
      </xdr:txBody>
    </xdr:sp>
    <xdr:clientData/>
  </xdr:twoCellAnchor>
  <xdr:twoCellAnchor>
    <xdr:from>
      <xdr:col>64</xdr:col>
      <xdr:colOff>21590</xdr:colOff>
      <xdr:row>13</xdr:row>
      <xdr:rowOff>44577</xdr:rowOff>
    </xdr:from>
    <xdr:to>
      <xdr:col>78</xdr:col>
      <xdr:colOff>231139</xdr:colOff>
      <xdr:row>13</xdr:row>
      <xdr:rowOff>193548</xdr:rowOff>
    </xdr:to>
    <xdr:sp macro="ShapeClicked" textlink="">
      <xdr:nvSpPr>
        <xdr:cNvPr id="222" name="S_TGB_12">
          <a:extLst>
            <a:ext uri="{FF2B5EF4-FFF2-40B4-BE49-F238E27FC236}">
              <a16:creationId xmlns:a16="http://schemas.microsoft.com/office/drawing/2014/main" id="{6E77BC85-10B0-252E-52F3-298E7980A219}"/>
            </a:ext>
          </a:extLst>
        </xdr:cNvPr>
        <xdr:cNvSpPr/>
      </xdr:nvSpPr>
      <xdr:spPr>
        <a:xfrm>
          <a:off x="10603865" y="20067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Create Machine Learn</a:t>
          </a:r>
        </a:p>
      </xdr:txBody>
    </xdr:sp>
    <xdr:clientData/>
  </xdr:twoCellAnchor>
  <xdr:twoCellAnchor>
    <xdr:from>
      <xdr:col>64</xdr:col>
      <xdr:colOff>21590</xdr:colOff>
      <xdr:row>14</xdr:row>
      <xdr:rowOff>44577</xdr:rowOff>
    </xdr:from>
    <xdr:to>
      <xdr:col>78</xdr:col>
      <xdr:colOff>231139</xdr:colOff>
      <xdr:row>14</xdr:row>
      <xdr:rowOff>193548</xdr:rowOff>
    </xdr:to>
    <xdr:sp macro="ShapeClicked" textlink="">
      <xdr:nvSpPr>
        <xdr:cNvPr id="223" name="S_TGB_13">
          <a:extLst>
            <a:ext uri="{FF2B5EF4-FFF2-40B4-BE49-F238E27FC236}">
              <a16:creationId xmlns:a16="http://schemas.microsoft.com/office/drawing/2014/main" id="{AD9794E2-59D6-3451-C46B-987E83AFDD55}"/>
            </a:ext>
          </a:extLst>
        </xdr:cNvPr>
        <xdr:cNvSpPr/>
      </xdr:nvSpPr>
      <xdr:spPr>
        <a:xfrm>
          <a:off x="10603865" y="22353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Optimize the Machine</a:t>
          </a:r>
        </a:p>
      </xdr:txBody>
    </xdr:sp>
    <xdr:clientData/>
  </xdr:twoCellAnchor>
  <xdr:twoCellAnchor>
    <xdr:from>
      <xdr:col>68</xdr:col>
      <xdr:colOff>31115</xdr:colOff>
      <xdr:row>15</xdr:row>
      <xdr:rowOff>44577</xdr:rowOff>
    </xdr:from>
    <xdr:to>
      <xdr:col>83</xdr:col>
      <xdr:colOff>50164</xdr:colOff>
      <xdr:row>15</xdr:row>
      <xdr:rowOff>193548</xdr:rowOff>
    </xdr:to>
    <xdr:sp macro="ShapeClicked" textlink="">
      <xdr:nvSpPr>
        <xdr:cNvPr id="224" name="S_TGB_11">
          <a:extLst>
            <a:ext uri="{FF2B5EF4-FFF2-40B4-BE49-F238E27FC236}">
              <a16:creationId xmlns:a16="http://schemas.microsoft.com/office/drawing/2014/main" id="{D741FB75-8554-EE01-7629-AE9C6421749F}"/>
            </a:ext>
          </a:extLst>
        </xdr:cNvPr>
        <xdr:cNvSpPr/>
      </xdr:nvSpPr>
      <xdr:spPr>
        <a:xfrm>
          <a:off x="11642090" y="24639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Tableau Visualizatio</a:t>
          </a:r>
        </a:p>
      </xdr:txBody>
    </xdr:sp>
    <xdr:clientData/>
  </xdr:twoCellAnchor>
  <xdr:twoCellAnchor>
    <xdr:from>
      <xdr:col>70</xdr:col>
      <xdr:colOff>34925</xdr:colOff>
      <xdr:row>16</xdr:row>
      <xdr:rowOff>44577</xdr:rowOff>
    </xdr:from>
    <xdr:to>
      <xdr:col>83</xdr:col>
      <xdr:colOff>568325</xdr:colOff>
      <xdr:row>16</xdr:row>
      <xdr:rowOff>193548</xdr:rowOff>
    </xdr:to>
    <xdr:sp macro="ShapeClicked" textlink="">
      <xdr:nvSpPr>
        <xdr:cNvPr id="225" name="S_TGB_5">
          <a:extLst>
            <a:ext uri="{FF2B5EF4-FFF2-40B4-BE49-F238E27FC236}">
              <a16:creationId xmlns:a16="http://schemas.microsoft.com/office/drawing/2014/main" id="{AC4A7F8A-F108-CA76-AB82-ABFA87D8586A}"/>
            </a:ext>
          </a:extLst>
        </xdr:cNvPr>
        <xdr:cNvSpPr/>
      </xdr:nvSpPr>
      <xdr:spPr>
        <a:xfrm>
          <a:off x="12160250" y="2692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Presentation assignm</a:t>
          </a:r>
        </a:p>
      </xdr:txBody>
    </xdr:sp>
    <xdr:clientData/>
  </xdr:twoCellAnchor>
  <xdr:twoCellAnchor>
    <xdr:from>
      <xdr:col>71</xdr:col>
      <xdr:colOff>29210</xdr:colOff>
      <xdr:row>17</xdr:row>
      <xdr:rowOff>44577</xdr:rowOff>
    </xdr:from>
    <xdr:to>
      <xdr:col>84</xdr:col>
      <xdr:colOff>76836</xdr:colOff>
      <xdr:row>17</xdr:row>
      <xdr:rowOff>193548</xdr:rowOff>
    </xdr:to>
    <xdr:sp macro="ShapeClicked" textlink="">
      <xdr:nvSpPr>
        <xdr:cNvPr id="226" name="S_TGB_6">
          <a:extLst>
            <a:ext uri="{FF2B5EF4-FFF2-40B4-BE49-F238E27FC236}">
              <a16:creationId xmlns:a16="http://schemas.microsoft.com/office/drawing/2014/main" id="{A58CA9F3-F387-967A-E05C-09E46D2EBF68}"/>
            </a:ext>
          </a:extLst>
        </xdr:cNvPr>
        <xdr:cNvSpPr/>
      </xdr:nvSpPr>
      <xdr:spPr>
        <a:xfrm>
          <a:off x="12411710" y="2921127"/>
          <a:ext cx="3810001"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Final presentation</a:t>
          </a:r>
        </a:p>
      </xdr:txBody>
    </xdr:sp>
    <xdr:clientData/>
  </xdr:twoCellAnchor>
  <xdr:twoCellAnchor>
    <xdr:from>
      <xdr:col>61</xdr:col>
      <xdr:colOff>1270</xdr:colOff>
      <xdr:row>7</xdr:row>
      <xdr:rowOff>1905</xdr:rowOff>
    </xdr:from>
    <xdr:to>
      <xdr:col>61</xdr:col>
      <xdr:colOff>2539</xdr:colOff>
      <xdr:row>18</xdr:row>
      <xdr:rowOff>3810</xdr:rowOff>
    </xdr:to>
    <xdr:sp macro="" textlink="">
      <xdr:nvSpPr>
        <xdr:cNvPr id="227" name="ST_Today_LineLeft">
          <a:extLst>
            <a:ext uri="{FF2B5EF4-FFF2-40B4-BE49-F238E27FC236}">
              <a16:creationId xmlns:a16="http://schemas.microsoft.com/office/drawing/2014/main" id="{79F4B657-5B58-5425-B62A-159C81B14403}"/>
            </a:ext>
          </a:extLst>
        </xdr:cNvPr>
        <xdr:cNvSpPr/>
      </xdr:nvSpPr>
      <xdr:spPr>
        <a:xfrm>
          <a:off x="9812020" y="563880"/>
          <a:ext cx="1269" cy="25450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234950</xdr:colOff>
      <xdr:row>7</xdr:row>
      <xdr:rowOff>1905</xdr:rowOff>
    </xdr:from>
    <xdr:to>
      <xdr:col>61</xdr:col>
      <xdr:colOff>236220</xdr:colOff>
      <xdr:row>18</xdr:row>
      <xdr:rowOff>3810</xdr:rowOff>
    </xdr:to>
    <xdr:sp macro="" textlink="">
      <xdr:nvSpPr>
        <xdr:cNvPr id="228" name="ST_Today_LineRight">
          <a:extLst>
            <a:ext uri="{FF2B5EF4-FFF2-40B4-BE49-F238E27FC236}">
              <a16:creationId xmlns:a16="http://schemas.microsoft.com/office/drawing/2014/main" id="{86A34952-DE27-126F-79B8-163969587613}"/>
            </a:ext>
          </a:extLst>
        </xdr:cNvPr>
        <xdr:cNvSpPr/>
      </xdr:nvSpPr>
      <xdr:spPr>
        <a:xfrm>
          <a:off x="10045700" y="563880"/>
          <a:ext cx="1270" cy="25450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xdr:colOff>
      <xdr:row>9</xdr:row>
      <xdr:rowOff>54610</xdr:rowOff>
    </xdr:from>
    <xdr:to>
      <xdr:col>20</xdr:col>
      <xdr:colOff>525780</xdr:colOff>
      <xdr:row>12</xdr:row>
      <xdr:rowOff>3810</xdr:rowOff>
    </xdr:to>
    <xdr:sp macro="" textlink="">
      <xdr:nvSpPr>
        <xdr:cNvPr id="229" name="SG_EnableMacrosButton">
          <a:hlinkClick xmlns:r="http://schemas.openxmlformats.org/officeDocument/2006/relationships" r:id="rId1" tooltip="Enable Macros"/>
          <a:extLst>
            <a:ext uri="{FF2B5EF4-FFF2-40B4-BE49-F238E27FC236}">
              <a16:creationId xmlns:a16="http://schemas.microsoft.com/office/drawing/2014/main" id="{6533B430-7FE0-B008-2AFE-1D2ED60BEBE1}"/>
            </a:ext>
          </a:extLst>
        </xdr:cNvPr>
        <xdr:cNvSpPr/>
      </xdr:nvSpPr>
      <xdr:spPr>
        <a:xfrm>
          <a:off x="678180" y="110236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19050</xdr:colOff>
      <xdr:row>20</xdr:row>
      <xdr:rowOff>57150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4241231052234041979077869768946813314141597413" TargetMode="External"/><Relationship Id="rId2" Type="http://schemas.openxmlformats.org/officeDocument/2006/relationships/hyperlink" Target="https://www.ganttexcel.com/how-to-create-a-gantt-chart-in-excel/?utm_source=XLCpcQSG&amp;utm_medium=4241231052234041979077869768946813314141597413" TargetMode="External"/><Relationship Id="rId1" Type="http://schemas.openxmlformats.org/officeDocument/2006/relationships/hyperlink" Target="https://www.ganttexcel.com/documentation/enable-macros/?utm_source=XLCpcEnableMacros&amp;utm_medium=4241231052234041979077869768946813314141597413"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4.4" x14ac:dyDescent="0.3"/>
  <cols>
    <col min="1" max="4" width="12.6640625" customWidth="1"/>
    <col min="5" max="5" width="15" customWidth="1"/>
    <col min="6" max="6" width="14.6640625" customWidth="1"/>
    <col min="7" max="7" width="16.44140625" customWidth="1"/>
    <col min="8" max="8" width="15.5546875" customWidth="1"/>
    <col min="9" max="16" width="12.6640625" customWidth="1"/>
    <col min="17" max="17" width="15.33203125" customWidth="1"/>
    <col min="18" max="23" width="12.6640625" customWidth="1"/>
    <col min="24" max="24" width="19" customWidth="1"/>
    <col min="25" max="26" width="23" customWidth="1"/>
    <col min="27" max="27" width="12.6640625" customWidth="1"/>
    <col min="28" max="28" width="23" customWidth="1"/>
    <col min="29" max="49" width="12.6640625" customWidth="1"/>
    <col min="50" max="55" width="12.33203125" customWidth="1"/>
    <col min="56" max="56" width="13.109375" customWidth="1"/>
    <col min="57" max="57" width="13.33203125" customWidth="1"/>
    <col min="58" max="58" width="13.44140625" customWidth="1"/>
    <col min="59" max="59" width="13.109375" customWidth="1"/>
    <col min="60" max="60" width="13.33203125" customWidth="1"/>
    <col min="61" max="62" width="13.44140625" customWidth="1"/>
  </cols>
  <sheetData>
    <row r="1" spans="1:57" x14ac:dyDescent="0.3">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3">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3">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3">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3">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3">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3">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3">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3">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3">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3">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3">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3">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3">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3">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3">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3">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3">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3">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3">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3">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3">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3">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3">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3">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3">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3">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3">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3">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3">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3">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3">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3">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3">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3">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3">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3">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3">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3">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3">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3">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3">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3">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3">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3">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3">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3">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3">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3">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3">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3">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3">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3">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3">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3">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3">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3">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3">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3">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3">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3">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3">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3">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3">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3">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3">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3">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3">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3">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3">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3">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3">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3">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3">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3">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3">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3">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3">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3">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3">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3">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3">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3">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3">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3">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3">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3">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3">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3">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3">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3">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3">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3">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57.6" x14ac:dyDescent="0.3">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57.6" x14ac:dyDescent="0.3">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57.6" x14ac:dyDescent="0.3">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57.6" x14ac:dyDescent="0.3">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3">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3">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3">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3">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3">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00.8" x14ac:dyDescent="0.3">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3">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3">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3">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3">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3">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3">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3">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3">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3">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3">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3">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3">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3">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3">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3">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3">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3">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3">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3">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3">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3">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3">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3">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3">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3">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3">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3">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3">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3">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3">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3">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4.4" x14ac:dyDescent="0.3"/>
  <cols>
    <col min="1" max="1" width="1" customWidth="1"/>
    <col min="2" max="13" width="15.6640625" customWidth="1"/>
    <col min="14" max="15" width="15.6640625" hidden="1" customWidth="1"/>
    <col min="16" max="16" width="6.3320312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6640625" hidden="1" customWidth="1"/>
    <col min="23" max="23" width="10.33203125" hidden="1" customWidth="1"/>
    <col min="24" max="24" width="9.6640625" hidden="1" customWidth="1"/>
    <col min="25" max="25" width="10.33203125" hidden="1" customWidth="1"/>
    <col min="26" max="26" width="6" hidden="1" customWidth="1"/>
    <col min="27" max="27" width="10.44140625" hidden="1" customWidth="1"/>
    <col min="28" max="28" width="9.6640625" hidden="1" customWidth="1"/>
    <col min="29" max="30" width="6.33203125" hidden="1" customWidth="1"/>
    <col min="31" max="16384" width="6" hidden="1"/>
  </cols>
  <sheetData>
    <row r="1" spans="1:53" s="2" customFormat="1" ht="11.25" customHeight="1" x14ac:dyDescent="0.3">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399999999999999" thickBot="1" x14ac:dyDescent="0.45">
      <c r="A2" s="36"/>
      <c r="B2" s="160"/>
      <c r="C2" s="160"/>
      <c r="D2" s="160"/>
      <c r="E2" s="160"/>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3">
      <c r="A3" s="51"/>
      <c r="B3" s="162" t="s">
        <v>11</v>
      </c>
      <c r="C3" s="162"/>
      <c r="D3" s="162"/>
      <c r="E3" s="162"/>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3">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3">
      <c r="A5"/>
      <c r="B5"/>
      <c r="C5"/>
      <c r="D5" s="31" t="s">
        <v>9</v>
      </c>
      <c r="E5" s="110" t="str">
        <f>IF(S2 = "","",S2)</f>
        <v/>
      </c>
      <c r="F5" s="6"/>
      <c r="G5"/>
      <c r="H5"/>
    </row>
    <row r="6" spans="1:53" s="2" customFormat="1" ht="15" customHeight="1" x14ac:dyDescent="0.3">
      <c r="A6"/>
      <c r="B6"/>
      <c r="C6"/>
      <c r="D6" s="31" t="s">
        <v>7</v>
      </c>
      <c r="E6" s="32">
        <f>AA2</f>
        <v>44398</v>
      </c>
      <c r="F6" s="5"/>
      <c r="G6"/>
      <c r="H6"/>
    </row>
    <row r="7" spans="1:53" s="2" customFormat="1" ht="15" customHeight="1" x14ac:dyDescent="0.3">
      <c r="A7"/>
      <c r="B7"/>
      <c r="C7"/>
      <c r="D7" s="31" t="s">
        <v>5</v>
      </c>
      <c r="E7" s="32">
        <f>AB2</f>
        <v>44411</v>
      </c>
      <c r="F7" s="5"/>
      <c r="G7"/>
      <c r="H7"/>
    </row>
    <row r="8" spans="1:53" s="2" customFormat="1" ht="15" customHeight="1" x14ac:dyDescent="0.3">
      <c r="A8"/>
      <c r="B8"/>
      <c r="C8"/>
      <c r="D8" s="43"/>
      <c r="E8" s="44"/>
      <c r="F8" s="4"/>
      <c r="G8"/>
      <c r="H8"/>
    </row>
    <row r="9" spans="1:53" s="2" customFormat="1" ht="15" customHeight="1" x14ac:dyDescent="0.3">
      <c r="A9"/>
      <c r="B9" s="158"/>
      <c r="C9" s="158"/>
      <c r="D9" s="29" t="s">
        <v>3</v>
      </c>
      <c r="E9" s="33">
        <f>AC2</f>
        <v>5</v>
      </c>
      <c r="F9" s="4"/>
      <c r="G9"/>
      <c r="H9"/>
    </row>
    <row r="10" spans="1:53" s="2" customFormat="1" ht="15" customHeight="1" x14ac:dyDescent="0.3">
      <c r="A10"/>
      <c r="B10"/>
      <c r="C10"/>
      <c r="D10" s="31" t="s">
        <v>56</v>
      </c>
      <c r="E10" s="33">
        <f>AD2</f>
        <v>0</v>
      </c>
      <c r="F10" s="4"/>
      <c r="G10"/>
      <c r="H10"/>
    </row>
    <row r="11" spans="1:53" s="2" customFormat="1" ht="15" customHeight="1" x14ac:dyDescent="0.3">
      <c r="A11"/>
      <c r="B11"/>
      <c r="C11"/>
      <c r="D11" s="31" t="s">
        <v>57</v>
      </c>
      <c r="E11" s="33">
        <f>AE2</f>
        <v>0</v>
      </c>
      <c r="F11" s="4"/>
      <c r="G11"/>
      <c r="H11"/>
    </row>
    <row r="12" spans="1:53" s="2" customFormat="1" ht="15" customHeight="1" x14ac:dyDescent="0.3">
      <c r="A12"/>
      <c r="B12"/>
      <c r="C12"/>
      <c r="D12" s="31" t="s">
        <v>58</v>
      </c>
      <c r="E12" s="33">
        <f>AF2</f>
        <v>5</v>
      </c>
      <c r="F12" s="3"/>
      <c r="G12"/>
      <c r="H12"/>
    </row>
    <row r="13" spans="1:53" s="2" customFormat="1" ht="15" customHeight="1" x14ac:dyDescent="0.3">
      <c r="A13"/>
      <c r="B13"/>
      <c r="C13"/>
      <c r="D13" s="31" t="s">
        <v>59</v>
      </c>
      <c r="E13" s="34">
        <f>AG2</f>
        <v>0</v>
      </c>
      <c r="F13" s="3"/>
      <c r="G13"/>
      <c r="H13"/>
    </row>
    <row r="14" spans="1:53" s="2" customFormat="1" ht="15" customHeight="1" x14ac:dyDescent="0.3">
      <c r="A14"/>
      <c r="B14"/>
      <c r="C14"/>
      <c r="D14" s="28"/>
      <c r="E14" s="27"/>
      <c r="F14" s="3"/>
      <c r="G14"/>
      <c r="H14"/>
    </row>
    <row r="15" spans="1:53" s="2" customFormat="1" ht="15.6" x14ac:dyDescent="0.3">
      <c r="A15"/>
      <c r="B15" s="161"/>
      <c r="C15" s="161"/>
      <c r="D15" s="161"/>
      <c r="E15" s="161"/>
      <c r="F15" s="41"/>
      <c r="G15"/>
      <c r="H15"/>
    </row>
    <row r="16" spans="1:53" s="7" customFormat="1" ht="15" customHeight="1" x14ac:dyDescent="0.3">
      <c r="A16"/>
      <c r="B16" s="1"/>
      <c r="C16" s="1"/>
      <c r="D16" s="41"/>
      <c r="E16" s="41"/>
      <c r="F16" s="1"/>
      <c r="G16"/>
      <c r="H16" s="1"/>
    </row>
    <row r="17" spans="1:8" s="2" customFormat="1" x14ac:dyDescent="0.3">
      <c r="A17"/>
      <c r="B17"/>
      <c r="C17"/>
      <c r="D17" s="1"/>
      <c r="E17" s="1"/>
      <c r="F17"/>
      <c r="G17"/>
      <c r="H17"/>
    </row>
    <row r="18" spans="1:8" s="2" customFormat="1" ht="15" customHeight="1" x14ac:dyDescent="0.3">
      <c r="A18"/>
      <c r="B18"/>
      <c r="C18"/>
      <c r="D18" s="159" t="str">
        <f>BA2</f>
        <v/>
      </c>
      <c r="E18" s="159"/>
      <c r="F18"/>
      <c r="G18"/>
      <c r="H18"/>
    </row>
    <row r="19" spans="1:8" s="2" customFormat="1" ht="15" customHeight="1" x14ac:dyDescent="0.3">
      <c r="A19"/>
      <c r="B19"/>
      <c r="C19"/>
      <c r="D19"/>
      <c r="E19"/>
      <c r="F19"/>
      <c r="G19"/>
      <c r="H19"/>
    </row>
    <row r="20" spans="1:8" s="2" customFormat="1" ht="15" customHeight="1" x14ac:dyDescent="0.3">
      <c r="A20"/>
      <c r="B20" s="157"/>
      <c r="C20" s="157"/>
      <c r="D20"/>
      <c r="E20"/>
      <c r="F20"/>
      <c r="G20"/>
      <c r="H20"/>
    </row>
    <row r="21" spans="1:8" s="2" customFormat="1" ht="15" customHeight="1" x14ac:dyDescent="0.3">
      <c r="A21"/>
      <c r="B21"/>
      <c r="C21"/>
      <c r="D21" s="8"/>
      <c r="E21"/>
      <c r="F21"/>
      <c r="G21"/>
      <c r="H21"/>
    </row>
    <row r="22" spans="1:8" s="2" customFormat="1" ht="15" customHeight="1" x14ac:dyDescent="0.3">
      <c r="A22"/>
      <c r="B22"/>
      <c r="C22"/>
      <c r="D22"/>
      <c r="E22"/>
      <c r="F22"/>
      <c r="G22"/>
      <c r="H22"/>
    </row>
    <row r="23" spans="1:8" s="2" customFormat="1" ht="15" customHeight="1" x14ac:dyDescent="0.3">
      <c r="A23"/>
      <c r="B23"/>
      <c r="C23"/>
      <c r="D23"/>
      <c r="E23"/>
      <c r="F23"/>
      <c r="G23"/>
      <c r="H23"/>
    </row>
    <row r="24" spans="1:8" s="2" customFormat="1" ht="15" customHeight="1" x14ac:dyDescent="0.3">
      <c r="A24"/>
      <c r="B24"/>
      <c r="C24"/>
      <c r="D24"/>
      <c r="E24"/>
      <c r="F24"/>
      <c r="G24"/>
      <c r="H24"/>
    </row>
    <row r="25" spans="1:8" s="2" customFormat="1" ht="15" customHeight="1" x14ac:dyDescent="0.3">
      <c r="A25"/>
      <c r="B25"/>
      <c r="C25"/>
      <c r="D25"/>
      <c r="E25"/>
      <c r="F25"/>
      <c r="G25"/>
      <c r="H25"/>
    </row>
    <row r="26" spans="1:8" s="7" customFormat="1" ht="15" customHeight="1" x14ac:dyDescent="0.3">
      <c r="A26"/>
      <c r="B26"/>
      <c r="C26"/>
      <c r="D26"/>
      <c r="E26"/>
      <c r="F26"/>
      <c r="G26"/>
      <c r="H26"/>
    </row>
    <row r="27" spans="1:8" s="2" customFormat="1" ht="15" customHeight="1" x14ac:dyDescent="0.3">
      <c r="A27"/>
      <c r="B27" s="1"/>
      <c r="C27" s="1"/>
      <c r="D27"/>
      <c r="E27"/>
      <c r="F27" s="1"/>
      <c r="G27"/>
      <c r="H27" s="1"/>
    </row>
    <row r="28" spans="1:8" s="2" customFormat="1" ht="15" customHeight="1" x14ac:dyDescent="0.3">
      <c r="A28"/>
      <c r="B28"/>
      <c r="C28"/>
      <c r="D28" s="1"/>
      <c r="E28" s="1"/>
      <c r="F28"/>
      <c r="G28"/>
      <c r="H28"/>
    </row>
    <row r="29" spans="1:8" s="2" customFormat="1" ht="15" customHeight="1" x14ac:dyDescent="0.3">
      <c r="A29"/>
      <c r="B29"/>
      <c r="C29"/>
      <c r="D29"/>
      <c r="E29"/>
      <c r="F29"/>
      <c r="G29"/>
      <c r="H29"/>
    </row>
    <row r="30" spans="1:8" s="2" customFormat="1" ht="15" customHeight="1" x14ac:dyDescent="0.3">
      <c r="A30"/>
      <c r="B30"/>
      <c r="C30"/>
      <c r="D30"/>
      <c r="E30"/>
      <c r="F30"/>
      <c r="G30"/>
      <c r="H30"/>
    </row>
    <row r="31" spans="1:8" s="2" customFormat="1" ht="15" customHeight="1" x14ac:dyDescent="0.3">
      <c r="A31"/>
      <c r="B31"/>
      <c r="C31"/>
      <c r="D31"/>
      <c r="E31"/>
      <c r="F31"/>
      <c r="G31"/>
      <c r="H31"/>
    </row>
    <row r="32" spans="1:8" s="2" customFormat="1" ht="15" customHeight="1" x14ac:dyDescent="0.3">
      <c r="A32"/>
      <c r="B32"/>
      <c r="C32"/>
      <c r="D32"/>
      <c r="E32"/>
      <c r="F32"/>
      <c r="G32"/>
      <c r="H32"/>
    </row>
    <row r="33" spans="1:8" s="2" customFormat="1" ht="15" customHeight="1" x14ac:dyDescent="0.3">
      <c r="A33"/>
      <c r="B33"/>
      <c r="C33"/>
      <c r="D33" s="8"/>
      <c r="E33"/>
      <c r="F33"/>
      <c r="G33"/>
      <c r="H33"/>
    </row>
    <row r="34" spans="1:8" s="2" customFormat="1" ht="15" customHeight="1" x14ac:dyDescent="0.3">
      <c r="A34"/>
      <c r="B34"/>
      <c r="C34"/>
      <c r="D34"/>
      <c r="E34"/>
      <c r="F34"/>
      <c r="G34"/>
      <c r="H34"/>
    </row>
    <row r="35" spans="1:8" s="2" customFormat="1" ht="15" customHeight="1" x14ac:dyDescent="0.3">
      <c r="A35"/>
      <c r="B35"/>
      <c r="C35"/>
      <c r="D35"/>
      <c r="E35" s="40"/>
      <c r="F35"/>
      <c r="G35"/>
      <c r="H35"/>
    </row>
    <row r="36" spans="1:8" s="2" customFormat="1" ht="15" customHeight="1" x14ac:dyDescent="0.3">
      <c r="A36"/>
      <c r="B36"/>
      <c r="C36"/>
      <c r="D36"/>
      <c r="E36"/>
      <c r="F36"/>
      <c r="G36"/>
      <c r="H36"/>
    </row>
    <row r="37" spans="1:8" s="2" customFormat="1" ht="15" customHeight="1" x14ac:dyDescent="0.3">
      <c r="A37"/>
      <c r="B37"/>
      <c r="C37"/>
      <c r="D37"/>
      <c r="E37"/>
      <c r="F37"/>
      <c r="G37"/>
      <c r="H37"/>
    </row>
    <row r="38" spans="1:8" s="2" customFormat="1" ht="15" customHeight="1" x14ac:dyDescent="0.3">
      <c r="A38"/>
      <c r="B38"/>
      <c r="C38"/>
      <c r="D38"/>
      <c r="E38"/>
      <c r="F38"/>
      <c r="G38"/>
      <c r="H38"/>
    </row>
    <row r="39" spans="1:8" s="2" customFormat="1" ht="15" customHeight="1" x14ac:dyDescent="0.3">
      <c r="A39"/>
      <c r="B39"/>
      <c r="C39"/>
      <c r="D39"/>
      <c r="E39"/>
      <c r="F39"/>
      <c r="G39"/>
      <c r="H39"/>
    </row>
    <row r="40" spans="1:8" s="2" customFormat="1" ht="15" customHeight="1" x14ac:dyDescent="0.3">
      <c r="A40"/>
      <c r="B40"/>
      <c r="C40"/>
      <c r="D40"/>
      <c r="E40"/>
      <c r="F40"/>
      <c r="G40"/>
      <c r="H40"/>
    </row>
    <row r="41" spans="1:8" s="2" customFormat="1" ht="15" customHeight="1" x14ac:dyDescent="0.3">
      <c r="A41"/>
      <c r="B41"/>
      <c r="C41"/>
      <c r="D41"/>
      <c r="E41"/>
      <c r="F41"/>
      <c r="G41"/>
      <c r="H41"/>
    </row>
    <row r="42" spans="1:8" s="2" customFormat="1" ht="15" customHeight="1" x14ac:dyDescent="0.3">
      <c r="A42"/>
      <c r="B42"/>
      <c r="C42"/>
      <c r="D42"/>
      <c r="E42"/>
      <c r="F42"/>
      <c r="G42"/>
      <c r="H42"/>
    </row>
    <row r="43" spans="1:8" s="2" customFormat="1" ht="15" customHeight="1" x14ac:dyDescent="0.3">
      <c r="A43"/>
      <c r="B43" s="1"/>
      <c r="C43" s="1"/>
      <c r="D43"/>
      <c r="E43"/>
      <c r="F43" s="1"/>
      <c r="G43"/>
      <c r="H43"/>
    </row>
    <row r="44" spans="1:8" s="2" customFormat="1" ht="15" customHeight="1" x14ac:dyDescent="0.3">
      <c r="A44"/>
      <c r="B44" s="1"/>
      <c r="C44" s="1"/>
      <c r="D44" s="1"/>
      <c r="E44" s="1"/>
      <c r="F44" s="1"/>
      <c r="G44"/>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33203125" defaultRowHeight="14.4" x14ac:dyDescent="0.3"/>
  <cols>
    <col min="12" max="13" width="14.6640625" customWidth="1"/>
    <col min="14" max="14" width="12.6640625" customWidth="1"/>
    <col min="20" max="20" width="12.6640625" customWidth="1"/>
    <col min="28" max="28" width="19.6640625" customWidth="1"/>
    <col min="100" max="100" width="10.44140625" bestFit="1" customWidth="1"/>
  </cols>
  <sheetData>
    <row r="1" spans="1:334"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3">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45187</v>
      </c>
      <c r="CW2" t="b">
        <v>0</v>
      </c>
      <c r="CX2" t="b">
        <v>0</v>
      </c>
      <c r="CY2" t="b">
        <v>0</v>
      </c>
      <c r="CZ2" t="b">
        <v>1</v>
      </c>
      <c r="DA2" t="b">
        <v>1</v>
      </c>
      <c r="DB2" t="s">
        <v>424</v>
      </c>
      <c r="LO2" s="2">
        <v>1</v>
      </c>
      <c r="LP2" t="s">
        <v>422</v>
      </c>
      <c r="LQ2" s="12" t="s">
        <v>477</v>
      </c>
      <c r="LR2" s="12" t="s">
        <v>478</v>
      </c>
      <c r="LS2" s="12" t="s">
        <v>423</v>
      </c>
      <c r="LT2" t="s">
        <v>425</v>
      </c>
      <c r="LV2" s="76">
        <v>45071</v>
      </c>
    </row>
    <row r="3" spans="1:334"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4.4" x14ac:dyDescent="0.3"/>
  <cols>
    <col min="1" max="1" width="13.109375" bestFit="1" customWidth="1"/>
    <col min="2" max="2" width="17.88671875" bestFit="1" customWidth="1"/>
    <col min="6" max="8" width="9.33203125"/>
    <col min="10" max="10" width="13.33203125" bestFit="1" customWidth="1"/>
    <col min="11" max="11" width="13.109375" bestFit="1" customWidth="1"/>
    <col min="12" max="12" width="17.88671875" bestFit="1" customWidth="1"/>
    <col min="13" max="13" width="8.6640625" bestFit="1" customWidth="1"/>
    <col min="14" max="14" width="8.33203125" bestFit="1" customWidth="1"/>
    <col min="15" max="17" width="8.33203125" customWidth="1"/>
    <col min="18" max="18" width="11.33203125" bestFit="1" customWidth="1"/>
    <col min="21" max="21" width="14.33203125" bestFit="1" customWidth="1"/>
    <col min="22" max="22" width="17.88671875" bestFit="1" customWidth="1"/>
    <col min="23" max="23" width="11" bestFit="1" customWidth="1"/>
    <col min="24" max="26" width="11" customWidth="1"/>
    <col min="27" max="27" width="11" bestFit="1" customWidth="1"/>
    <col min="31" max="31" width="12" bestFit="1" customWidth="1"/>
    <col min="32" max="32" width="17.88671875" bestFit="1" customWidth="1"/>
    <col min="33" max="33" width="31.33203125" bestFit="1" customWidth="1"/>
    <col min="34" max="35" width="31.33203125" customWidth="1"/>
    <col min="36" max="36" width="31.33203125" bestFit="1" customWidth="1"/>
    <col min="37" max="37" width="33.33203125" bestFit="1" customWidth="1"/>
    <col min="38" max="39" width="36.33203125" bestFit="1" customWidth="1"/>
    <col min="40" max="40" width="14.33203125" bestFit="1" customWidth="1"/>
    <col min="41" max="41" width="22.33203125" bestFit="1" customWidth="1"/>
    <col min="42" max="42" width="13.109375" bestFit="1" customWidth="1"/>
    <col min="43" max="43" width="17.88671875" bestFit="1" customWidth="1"/>
    <col min="47" max="49" width="9.33203125"/>
    <col min="53" max="53" width="13.109375" bestFit="1" customWidth="1"/>
    <col min="54" max="54" width="17.88671875" bestFit="1" customWidth="1"/>
    <col min="57" max="59" width="9.33203125"/>
    <col min="63" max="63" width="12" bestFit="1" customWidth="1"/>
    <col min="64" max="64" width="17.88671875" bestFit="1" customWidth="1"/>
    <col min="66" max="70" width="9.33203125"/>
    <col min="72" max="72" width="12" bestFit="1" customWidth="1"/>
    <col min="73" max="73" width="17.88671875" bestFit="1" customWidth="1"/>
    <col min="76" max="76" width="12" bestFit="1" customWidth="1"/>
    <col min="77" max="77" width="17.6640625" bestFit="1" customWidth="1"/>
    <col min="81" max="81" width="12" bestFit="1" customWidth="1"/>
    <col min="82" max="82" width="17.6640625" bestFit="1" customWidth="1"/>
  </cols>
  <sheetData>
    <row r="1" spans="1:73" x14ac:dyDescent="0.3">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3">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3">
      <c r="A4" s="25" t="s">
        <v>207</v>
      </c>
      <c r="B4" t="s">
        <v>208</v>
      </c>
      <c r="K4" s="25" t="s">
        <v>207</v>
      </c>
      <c r="L4" t="s">
        <v>208</v>
      </c>
      <c r="U4" s="25" t="s">
        <v>209</v>
      </c>
      <c r="AP4" s="25" t="s">
        <v>207</v>
      </c>
      <c r="AQ4" t="s">
        <v>208</v>
      </c>
      <c r="BA4" s="25" t="s">
        <v>207</v>
      </c>
    </row>
    <row r="5" spans="1:73" x14ac:dyDescent="0.3">
      <c r="A5" s="26" t="s">
        <v>59</v>
      </c>
      <c r="B5">
        <v>10</v>
      </c>
      <c r="K5" s="26" t="s">
        <v>159</v>
      </c>
      <c r="L5">
        <v>10</v>
      </c>
      <c r="U5" s="26" t="s">
        <v>183</v>
      </c>
      <c r="V5" s="52"/>
      <c r="AP5" s="107" t="s">
        <v>291</v>
      </c>
      <c r="AQ5">
        <v>1</v>
      </c>
      <c r="BA5" s="26" t="s">
        <v>240</v>
      </c>
    </row>
    <row r="6" spans="1:73" x14ac:dyDescent="0.3">
      <c r="U6" s="26" t="s">
        <v>211</v>
      </c>
      <c r="V6" s="52">
        <v>25000</v>
      </c>
      <c r="AP6" s="107" t="s">
        <v>242</v>
      </c>
      <c r="AQ6">
        <v>1</v>
      </c>
    </row>
    <row r="7" spans="1:73" x14ac:dyDescent="0.3">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sheetPr codeName="Sheet1"/>
  <dimension ref="A1:DW19"/>
  <sheetViews>
    <sheetView showGridLines="0" showRowColHeaders="0" tabSelected="1" topLeftCell="H6" zoomScaleNormal="100" workbookViewId="0">
      <selection activeCell="K10" sqref="K10"/>
    </sheetView>
  </sheetViews>
  <sheetFormatPr defaultColWidth="0" defaultRowHeight="14.4" x14ac:dyDescent="0.3"/>
  <cols>
    <col min="1" max="7" width="0" style="114" hidden="1" customWidth="1"/>
    <col min="8" max="9" width="2.6640625" style="114" customWidth="1"/>
    <col min="10" max="10" width="4.5546875" style="146" bestFit="1" customWidth="1"/>
    <col min="11" max="11" width="45.6640625" style="116" customWidth="1"/>
    <col min="12" max="12" width="10.6640625" style="118" customWidth="1"/>
    <col min="13" max="13" width="10.6640625" style="114" hidden="1" customWidth="1"/>
    <col min="14" max="14" width="15.6640625" style="116" customWidth="1"/>
    <col min="15" max="18" width="15.6640625" style="117" hidden="1" customWidth="1"/>
    <col min="19" max="20" width="15.6640625" style="117" customWidth="1"/>
    <col min="21" max="21" width="10.6640625" style="117" customWidth="1"/>
    <col min="22" max="23" width="15.6640625" style="116" hidden="1" customWidth="1"/>
    <col min="24" max="24" width="15.6640625" style="117" hidden="1" customWidth="1"/>
    <col min="25" max="25" width="5.6640625" style="114" customWidth="1"/>
    <col min="26" max="26" width="10.6640625" style="115" customWidth="1"/>
    <col min="27" max="32" width="15.6640625" style="117" hidden="1" customWidth="1"/>
    <col min="33" max="57" width="15.6640625" style="114" hidden="1" customWidth="1"/>
    <col min="58" max="60" width="15.6640625" style="122" hidden="1" customWidth="1"/>
    <col min="61" max="61" width="2.6640625" style="114" customWidth="1"/>
    <col min="62" max="82" width="3.77734375" customWidth="1"/>
    <col min="83" max="83" width="2.77734375" customWidth="1"/>
    <col min="84" max="16384" width="10.77734375" hidden="1"/>
  </cols>
  <sheetData>
    <row r="1" spans="1:127" hidden="1" x14ac:dyDescent="0.3">
      <c r="A1" s="114" t="s">
        <v>225</v>
      </c>
      <c r="B1" s="114" t="s">
        <v>217</v>
      </c>
      <c r="C1" s="114" t="s">
        <v>218</v>
      </c>
      <c r="D1" s="114" t="s">
        <v>219</v>
      </c>
      <c r="E1" s="114" t="s">
        <v>220</v>
      </c>
      <c r="F1" s="114" t="s">
        <v>221</v>
      </c>
      <c r="G1" s="114" t="s">
        <v>155</v>
      </c>
      <c r="H1" s="114" t="s">
        <v>156</v>
      </c>
      <c r="I1" s="114" t="s">
        <v>222</v>
      </c>
      <c r="J1" s="146" t="s">
        <v>27</v>
      </c>
      <c r="K1" s="116" t="s">
        <v>26</v>
      </c>
      <c r="L1" s="118" t="s">
        <v>133</v>
      </c>
      <c r="M1" s="114" t="s">
        <v>134</v>
      </c>
      <c r="N1" s="116" t="s">
        <v>216</v>
      </c>
      <c r="O1" s="117" t="s">
        <v>223</v>
      </c>
      <c r="P1" s="117" t="s">
        <v>25</v>
      </c>
      <c r="Q1" s="117" t="s">
        <v>24</v>
      </c>
      <c r="R1" s="117" t="s">
        <v>23</v>
      </c>
      <c r="S1" s="117" t="s">
        <v>22</v>
      </c>
      <c r="T1" s="117" t="s">
        <v>20</v>
      </c>
      <c r="U1" s="117" t="s">
        <v>18</v>
      </c>
      <c r="V1" s="116" t="s">
        <v>230</v>
      </c>
      <c r="W1" s="116" t="s">
        <v>231</v>
      </c>
      <c r="X1" s="117" t="s">
        <v>214</v>
      </c>
      <c r="Y1" s="114" t="s">
        <v>224</v>
      </c>
      <c r="Z1" s="115" t="s">
        <v>17</v>
      </c>
      <c r="AA1" s="117" t="s">
        <v>21</v>
      </c>
      <c r="AB1" s="117" t="s">
        <v>19</v>
      </c>
      <c r="AC1" s="117" t="s">
        <v>16</v>
      </c>
      <c r="AD1" s="117" t="s">
        <v>15</v>
      </c>
      <c r="AE1" s="117" t="s">
        <v>14</v>
      </c>
      <c r="AF1" s="117" t="s">
        <v>13</v>
      </c>
      <c r="AG1" s="114" t="s">
        <v>12</v>
      </c>
      <c r="AH1" s="114" t="s">
        <v>456</v>
      </c>
      <c r="AI1" s="114" t="s">
        <v>458</v>
      </c>
      <c r="AJ1" s="114" t="s">
        <v>460</v>
      </c>
      <c r="AK1" s="114" t="s">
        <v>462</v>
      </c>
      <c r="AL1" s="114" t="s">
        <v>163</v>
      </c>
      <c r="AM1" s="114" t="s">
        <v>164</v>
      </c>
      <c r="AN1" s="114" t="s">
        <v>165</v>
      </c>
      <c r="AO1" s="114" t="s">
        <v>166</v>
      </c>
      <c r="AP1" s="114" t="s">
        <v>167</v>
      </c>
      <c r="AQ1" s="114" t="s">
        <v>168</v>
      </c>
      <c r="AR1" s="114" t="s">
        <v>169</v>
      </c>
      <c r="AS1" s="114" t="s">
        <v>170</v>
      </c>
      <c r="AT1" s="114" t="s">
        <v>171</v>
      </c>
      <c r="AU1" s="114" t="s">
        <v>172</v>
      </c>
      <c r="AV1" s="114" t="s">
        <v>173</v>
      </c>
      <c r="AW1" s="114" t="s">
        <v>174</v>
      </c>
      <c r="AX1" s="114" t="s">
        <v>175</v>
      </c>
      <c r="AY1" s="114" t="s">
        <v>176</v>
      </c>
      <c r="AZ1" s="114" t="s">
        <v>177</v>
      </c>
      <c r="BA1" s="114" t="s">
        <v>178</v>
      </c>
      <c r="BB1" s="114" t="s">
        <v>179</v>
      </c>
      <c r="BC1" s="114" t="s">
        <v>180</v>
      </c>
      <c r="BD1" s="114" t="s">
        <v>181</v>
      </c>
      <c r="BE1" s="114" t="s">
        <v>182</v>
      </c>
      <c r="BF1" s="122" t="s">
        <v>464</v>
      </c>
      <c r="BG1" s="122" t="s">
        <v>465</v>
      </c>
      <c r="BH1" s="122" t="s">
        <v>466</v>
      </c>
      <c r="BI1" s="114" t="s">
        <v>157</v>
      </c>
      <c r="BJ1" t="s">
        <v>467</v>
      </c>
      <c r="CD1" t="s">
        <v>468</v>
      </c>
      <c r="CE1" t="s">
        <v>469</v>
      </c>
    </row>
    <row r="2" spans="1:127" hidden="1" x14ac:dyDescent="0.3">
      <c r="A2" s="114" t="s">
        <v>441</v>
      </c>
      <c r="B2" s="114" t="s">
        <v>441</v>
      </c>
      <c r="C2" s="114" t="s">
        <v>441</v>
      </c>
      <c r="D2" s="114" t="s">
        <v>441</v>
      </c>
      <c r="E2" s="114" t="s">
        <v>441</v>
      </c>
      <c r="F2" s="114" t="s">
        <v>441</v>
      </c>
      <c r="G2" s="114" t="s">
        <v>441</v>
      </c>
      <c r="H2" s="114" t="s">
        <v>470</v>
      </c>
      <c r="I2" s="114" t="s">
        <v>441</v>
      </c>
      <c r="J2" s="146" t="s">
        <v>441</v>
      </c>
      <c r="K2" s="116" t="s">
        <v>441</v>
      </c>
      <c r="L2" s="118" t="s">
        <v>441</v>
      </c>
      <c r="M2" s="114" t="s">
        <v>441</v>
      </c>
      <c r="N2" s="116" t="s">
        <v>441</v>
      </c>
      <c r="O2" s="117" t="s">
        <v>441</v>
      </c>
      <c r="P2" s="117" t="s">
        <v>441</v>
      </c>
      <c r="Q2" s="117" t="s">
        <v>441</v>
      </c>
      <c r="R2" s="117" t="s">
        <v>441</v>
      </c>
      <c r="S2" s="117" t="s">
        <v>441</v>
      </c>
      <c r="T2" s="117" t="s">
        <v>441</v>
      </c>
      <c r="U2" s="117" t="s">
        <v>441</v>
      </c>
      <c r="V2" s="116" t="s">
        <v>441</v>
      </c>
      <c r="W2" s="116" t="s">
        <v>441</v>
      </c>
      <c r="X2" s="117" t="s">
        <v>441</v>
      </c>
      <c r="Y2" s="114" t="s">
        <v>441</v>
      </c>
      <c r="Z2" s="115" t="s">
        <v>441</v>
      </c>
      <c r="AA2" s="117" t="s">
        <v>441</v>
      </c>
      <c r="AB2" s="117" t="s">
        <v>441</v>
      </c>
      <c r="AC2" s="117" t="s">
        <v>441</v>
      </c>
      <c r="AD2" s="117" t="s">
        <v>441</v>
      </c>
      <c r="AE2" s="117" t="s">
        <v>441</v>
      </c>
      <c r="AF2" s="117" t="s">
        <v>441</v>
      </c>
      <c r="AG2" s="114" t="s">
        <v>441</v>
      </c>
      <c r="AH2" s="114" t="s">
        <v>441</v>
      </c>
      <c r="AI2" s="114" t="s">
        <v>441</v>
      </c>
      <c r="AJ2" s="114" t="s">
        <v>441</v>
      </c>
      <c r="AK2" s="114" t="s">
        <v>441</v>
      </c>
      <c r="AL2" s="114" t="s">
        <v>163</v>
      </c>
      <c r="AM2" s="114" t="s">
        <v>164</v>
      </c>
      <c r="AN2" s="114" t="s">
        <v>165</v>
      </c>
      <c r="AO2" s="114" t="s">
        <v>166</v>
      </c>
      <c r="AP2" s="114" t="s">
        <v>167</v>
      </c>
      <c r="AQ2" s="114" t="s">
        <v>168</v>
      </c>
      <c r="AR2" s="114" t="s">
        <v>169</v>
      </c>
      <c r="AS2" s="114" t="s">
        <v>170</v>
      </c>
      <c r="AT2" s="114" t="s">
        <v>171</v>
      </c>
      <c r="AU2" s="114" t="s">
        <v>172</v>
      </c>
      <c r="AV2" s="114" t="s">
        <v>173</v>
      </c>
      <c r="AW2" s="114" t="s">
        <v>174</v>
      </c>
      <c r="AX2" s="114" t="s">
        <v>175</v>
      </c>
      <c r="AY2" s="114" t="s">
        <v>176</v>
      </c>
      <c r="AZ2" s="114" t="s">
        <v>177</v>
      </c>
      <c r="BA2" s="114" t="s">
        <v>178</v>
      </c>
      <c r="BB2" s="114" t="s">
        <v>179</v>
      </c>
      <c r="BC2" s="114" t="s">
        <v>180</v>
      </c>
      <c r="BD2" s="114" t="s">
        <v>181</v>
      </c>
      <c r="BE2" s="114" t="s">
        <v>182</v>
      </c>
      <c r="BF2" s="122" t="s">
        <v>441</v>
      </c>
      <c r="BG2" s="122" t="s">
        <v>441</v>
      </c>
      <c r="BH2" s="122" t="s">
        <v>441</v>
      </c>
      <c r="BI2" s="114" t="s">
        <v>441</v>
      </c>
    </row>
    <row r="3" spans="1:127" hidden="1" x14ac:dyDescent="0.3"/>
    <row r="4" spans="1:127" hidden="1" x14ac:dyDescent="0.3"/>
    <row r="5" spans="1:127" hidden="1" x14ac:dyDescent="0.3"/>
    <row r="6" spans="1:127" ht="30" customHeight="1" x14ac:dyDescent="0.3">
      <c r="H6" s="134"/>
      <c r="I6" s="134"/>
      <c r="J6" s="147" t="s">
        <v>508</v>
      </c>
      <c r="K6" s="135"/>
      <c r="L6" s="135"/>
      <c r="M6" s="135"/>
      <c r="N6" s="135"/>
      <c r="O6" s="135"/>
      <c r="P6" s="135"/>
      <c r="Q6" s="135"/>
      <c r="R6" s="135"/>
      <c r="S6" s="135"/>
      <c r="T6" s="135"/>
      <c r="U6" s="135"/>
      <c r="V6" s="135"/>
      <c r="W6" s="135"/>
      <c r="X6" s="135"/>
      <c r="Y6" s="135"/>
      <c r="Z6" s="136"/>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7"/>
      <c r="BG6" s="137"/>
      <c r="BH6" s="137"/>
      <c r="BI6" s="142"/>
      <c r="BJ6" s="138">
        <v>45187</v>
      </c>
      <c r="BK6" s="138">
        <v>45188</v>
      </c>
      <c r="BL6" s="138">
        <v>45189</v>
      </c>
      <c r="BM6" s="138">
        <v>45190</v>
      </c>
      <c r="BN6" s="138">
        <v>45191</v>
      </c>
      <c r="BO6" s="138">
        <v>45192</v>
      </c>
      <c r="BP6" s="138">
        <v>45193</v>
      </c>
      <c r="BQ6" s="138">
        <v>45194</v>
      </c>
      <c r="BR6" s="138">
        <v>45195</v>
      </c>
      <c r="BS6" s="138">
        <v>45196</v>
      </c>
      <c r="BT6" s="138">
        <v>45197</v>
      </c>
      <c r="BU6" s="138">
        <v>45198</v>
      </c>
      <c r="BV6" s="138">
        <v>45199</v>
      </c>
      <c r="BW6" s="138">
        <v>45200</v>
      </c>
      <c r="BX6" s="138">
        <v>45201</v>
      </c>
      <c r="BY6" s="138">
        <v>45202</v>
      </c>
      <c r="BZ6" s="138">
        <v>45203</v>
      </c>
      <c r="CA6" s="138">
        <v>45204</v>
      </c>
      <c r="CB6" s="138">
        <v>45205</v>
      </c>
      <c r="CC6" s="138">
        <v>45206</v>
      </c>
      <c r="CD6" s="138">
        <v>45207</v>
      </c>
      <c r="CE6" s="138"/>
    </row>
    <row r="7" spans="1:127" x14ac:dyDescent="0.3">
      <c r="J7" s="148" t="s">
        <v>475</v>
      </c>
      <c r="K7" s="119"/>
      <c r="L7" s="120"/>
      <c r="M7" s="119"/>
      <c r="N7" s="119"/>
      <c r="O7" s="119"/>
      <c r="P7" s="119"/>
      <c r="Q7" s="119"/>
      <c r="R7" s="119"/>
      <c r="S7" s="119"/>
      <c r="T7" s="119"/>
      <c r="U7" s="119"/>
      <c r="V7" s="119"/>
      <c r="W7" s="119"/>
      <c r="X7" s="119"/>
      <c r="Y7" s="119"/>
      <c r="Z7" s="121"/>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23"/>
      <c r="BG7" s="123"/>
      <c r="BH7" s="123"/>
      <c r="BJ7" s="139" t="s">
        <v>509</v>
      </c>
      <c r="BK7" s="139"/>
      <c r="BL7" s="139"/>
      <c r="BM7" s="139"/>
      <c r="BN7" s="139"/>
      <c r="BO7" s="139"/>
      <c r="BP7" s="139"/>
      <c r="BQ7" s="140" t="s">
        <v>510</v>
      </c>
      <c r="BR7" s="140"/>
      <c r="BS7" s="140"/>
      <c r="BT7" s="140"/>
      <c r="BU7" s="140"/>
      <c r="BV7" s="140"/>
      <c r="BW7" s="140"/>
      <c r="BX7" s="139" t="s">
        <v>520</v>
      </c>
      <c r="BY7" s="139"/>
      <c r="BZ7" s="139"/>
      <c r="CA7" s="139"/>
      <c r="CB7" s="139"/>
      <c r="CC7" s="139"/>
      <c r="CD7" s="139"/>
    </row>
    <row r="8" spans="1:127" x14ac:dyDescent="0.3">
      <c r="H8" s="173"/>
      <c r="I8" s="173"/>
      <c r="J8" s="174" t="s">
        <v>476</v>
      </c>
      <c r="K8" s="175"/>
      <c r="L8" s="176"/>
      <c r="M8" s="175"/>
      <c r="N8" s="175"/>
      <c r="O8" s="175"/>
      <c r="P8" s="175"/>
      <c r="Q8" s="175"/>
      <c r="R8" s="175"/>
      <c r="S8" s="175"/>
      <c r="T8" s="175"/>
      <c r="U8" s="175"/>
      <c r="V8" s="175"/>
      <c r="W8" s="175"/>
      <c r="X8" s="175"/>
      <c r="Y8" s="175"/>
      <c r="Z8" s="177"/>
      <c r="AA8" s="175"/>
      <c r="AB8" s="175"/>
      <c r="AC8" s="175"/>
      <c r="AD8" s="175"/>
      <c r="AE8" s="175"/>
      <c r="AF8" s="175"/>
      <c r="AG8" s="175"/>
      <c r="AH8" s="175"/>
      <c r="AI8" s="175"/>
      <c r="AJ8" s="175"/>
      <c r="AK8" s="175"/>
      <c r="AL8" s="175"/>
      <c r="AM8" s="175"/>
      <c r="AN8" s="175"/>
      <c r="AO8" s="175"/>
      <c r="AP8" s="175"/>
      <c r="AQ8" s="175"/>
      <c r="AR8" s="175"/>
      <c r="AS8" s="175"/>
      <c r="AT8" s="175"/>
      <c r="AU8" s="175"/>
      <c r="AV8" s="175"/>
      <c r="AW8" s="175"/>
      <c r="AX8" s="175"/>
      <c r="AY8" s="175"/>
      <c r="AZ8" s="175"/>
      <c r="BA8" s="175"/>
      <c r="BB8" s="175"/>
      <c r="BC8" s="175"/>
      <c r="BD8" s="175"/>
      <c r="BE8" s="175"/>
      <c r="BF8" s="178"/>
      <c r="BG8" s="178"/>
      <c r="BH8" s="178"/>
      <c r="BI8" s="179"/>
      <c r="BJ8" s="180">
        <v>18</v>
      </c>
      <c r="BK8" s="180">
        <v>19</v>
      </c>
      <c r="BL8" s="180">
        <v>20</v>
      </c>
      <c r="BM8" s="180">
        <v>21</v>
      </c>
      <c r="BN8" s="180">
        <v>22</v>
      </c>
      <c r="BO8" s="180">
        <v>23</v>
      </c>
      <c r="BP8" s="180">
        <v>24</v>
      </c>
      <c r="BQ8" s="180">
        <v>25</v>
      </c>
      <c r="BR8" s="180">
        <v>26</v>
      </c>
      <c r="BS8" s="180">
        <v>27</v>
      </c>
      <c r="BT8" s="180">
        <v>28</v>
      </c>
      <c r="BU8" s="180">
        <v>29</v>
      </c>
      <c r="BV8" s="180">
        <v>30</v>
      </c>
      <c r="BW8" s="180">
        <v>1</v>
      </c>
      <c r="BX8" s="180">
        <v>2</v>
      </c>
      <c r="BY8" s="180">
        <v>3</v>
      </c>
      <c r="BZ8" s="180">
        <v>4</v>
      </c>
      <c r="CA8" s="180">
        <v>5</v>
      </c>
      <c r="CB8" s="180">
        <v>6</v>
      </c>
      <c r="CC8" s="180">
        <v>7</v>
      </c>
      <c r="CD8" s="180">
        <v>8</v>
      </c>
      <c r="CE8" s="141"/>
    </row>
    <row r="9" spans="1:127" ht="24" customHeight="1" x14ac:dyDescent="0.3">
      <c r="A9" s="114" t="s">
        <v>225</v>
      </c>
      <c r="B9" s="114" t="s">
        <v>217</v>
      </c>
      <c r="C9" s="114" t="s">
        <v>218</v>
      </c>
      <c r="D9" s="114" t="s">
        <v>219</v>
      </c>
      <c r="E9" s="114" t="s">
        <v>220</v>
      </c>
      <c r="F9" s="114" t="s">
        <v>221</v>
      </c>
      <c r="H9" s="150"/>
      <c r="I9" s="150"/>
      <c r="J9" s="151" t="s">
        <v>27</v>
      </c>
      <c r="K9" s="150" t="s">
        <v>26</v>
      </c>
      <c r="L9" s="150" t="s">
        <v>133</v>
      </c>
      <c r="M9" s="150" t="s">
        <v>134</v>
      </c>
      <c r="N9" s="150" t="s">
        <v>216</v>
      </c>
      <c r="O9" s="150" t="s">
        <v>442</v>
      </c>
      <c r="P9" s="150" t="s">
        <v>443</v>
      </c>
      <c r="Q9" s="150" t="s">
        <v>444</v>
      </c>
      <c r="R9" s="150" t="s">
        <v>445</v>
      </c>
      <c r="S9" s="150" t="s">
        <v>446</v>
      </c>
      <c r="T9" s="150" t="s">
        <v>447</v>
      </c>
      <c r="U9" s="150" t="s">
        <v>448</v>
      </c>
      <c r="V9" s="150" t="s">
        <v>449</v>
      </c>
      <c r="W9" s="150" t="s">
        <v>450</v>
      </c>
      <c r="X9" s="150" t="s">
        <v>214</v>
      </c>
      <c r="Y9" s="150" t="s">
        <v>224</v>
      </c>
      <c r="Z9" s="152" t="s">
        <v>451</v>
      </c>
      <c r="AA9" s="150" t="s">
        <v>452</v>
      </c>
      <c r="AB9" s="150" t="s">
        <v>453</v>
      </c>
      <c r="AC9" s="150" t="s">
        <v>454</v>
      </c>
      <c r="AD9" s="150" t="s">
        <v>183</v>
      </c>
      <c r="AE9" s="150" t="s">
        <v>455</v>
      </c>
      <c r="AF9" s="150" t="s">
        <v>184</v>
      </c>
      <c r="AG9" s="150" t="s">
        <v>12</v>
      </c>
      <c r="AH9" s="150" t="s">
        <v>457</v>
      </c>
      <c r="AI9" s="150" t="s">
        <v>459</v>
      </c>
      <c r="AJ9" s="150" t="s">
        <v>461</v>
      </c>
      <c r="AK9" s="150" t="s">
        <v>463</v>
      </c>
      <c r="AL9" s="150" t="s">
        <v>163</v>
      </c>
      <c r="AM9" s="150" t="s">
        <v>164</v>
      </c>
      <c r="AN9" s="150" t="s">
        <v>165</v>
      </c>
      <c r="AO9" s="150" t="s">
        <v>166</v>
      </c>
      <c r="AP9" s="150" t="s">
        <v>167</v>
      </c>
      <c r="AQ9" s="150" t="s">
        <v>168</v>
      </c>
      <c r="AR9" s="150" t="s">
        <v>169</v>
      </c>
      <c r="AS9" s="150" t="s">
        <v>170</v>
      </c>
      <c r="AT9" s="150" t="s">
        <v>171</v>
      </c>
      <c r="AU9" s="150" t="s">
        <v>172</v>
      </c>
      <c r="AV9" s="150" t="s">
        <v>173</v>
      </c>
      <c r="AW9" s="150" t="s">
        <v>174</v>
      </c>
      <c r="AX9" s="150" t="s">
        <v>175</v>
      </c>
      <c r="AY9" s="150" t="s">
        <v>176</v>
      </c>
      <c r="AZ9" s="150" t="s">
        <v>177</v>
      </c>
      <c r="BA9" s="150" t="s">
        <v>178</v>
      </c>
      <c r="BB9" s="150" t="s">
        <v>179</v>
      </c>
      <c r="BC9" s="150" t="s">
        <v>180</v>
      </c>
      <c r="BD9" s="150" t="s">
        <v>181</v>
      </c>
      <c r="BE9" s="150" t="s">
        <v>182</v>
      </c>
      <c r="BF9" s="153" t="s">
        <v>464</v>
      </c>
      <c r="BG9" s="153" t="s">
        <v>465</v>
      </c>
      <c r="BH9" s="153" t="s">
        <v>466</v>
      </c>
      <c r="BI9" s="154"/>
      <c r="BJ9" s="155" t="s">
        <v>235</v>
      </c>
      <c r="BK9" s="155" t="s">
        <v>158</v>
      </c>
      <c r="BL9" s="155" t="s">
        <v>473</v>
      </c>
      <c r="BM9" s="155" t="s">
        <v>158</v>
      </c>
      <c r="BN9" s="155" t="s">
        <v>474</v>
      </c>
      <c r="BO9" s="156" t="s">
        <v>185</v>
      </c>
      <c r="BP9" s="156" t="s">
        <v>185</v>
      </c>
      <c r="BQ9" s="155" t="s">
        <v>235</v>
      </c>
      <c r="BR9" s="155" t="s">
        <v>158</v>
      </c>
      <c r="BS9" s="155" t="s">
        <v>473</v>
      </c>
      <c r="BT9" s="155" t="s">
        <v>158</v>
      </c>
      <c r="BU9" s="155" t="s">
        <v>474</v>
      </c>
      <c r="BV9" s="156" t="s">
        <v>185</v>
      </c>
      <c r="BW9" s="156" t="s">
        <v>185</v>
      </c>
      <c r="BX9" s="155" t="s">
        <v>235</v>
      </c>
      <c r="BY9" s="155" t="s">
        <v>158</v>
      </c>
      <c r="BZ9" s="155" t="s">
        <v>473</v>
      </c>
      <c r="CA9" s="155" t="s">
        <v>158</v>
      </c>
      <c r="CB9" s="155" t="s">
        <v>474</v>
      </c>
      <c r="CC9" s="156" t="s">
        <v>185</v>
      </c>
      <c r="CD9" s="156" t="s">
        <v>185</v>
      </c>
      <c r="CE9" s="141"/>
    </row>
    <row r="10" spans="1:127" s="124" customFormat="1" ht="18" customHeight="1" x14ac:dyDescent="0.3">
      <c r="A10" s="114" t="s">
        <v>158</v>
      </c>
      <c r="B10" s="114">
        <v>1</v>
      </c>
      <c r="C10" s="114"/>
      <c r="D10" s="114"/>
      <c r="E10" s="114"/>
      <c r="F10" s="114"/>
      <c r="G10" s="114">
        <v>0</v>
      </c>
      <c r="H10" s="167"/>
      <c r="I10" s="168" t="s">
        <v>160</v>
      </c>
      <c r="J10" s="149" t="s">
        <v>483</v>
      </c>
      <c r="K10" s="204" t="s">
        <v>479</v>
      </c>
      <c r="L10" s="133" t="s">
        <v>159</v>
      </c>
      <c r="M10" s="126" t="s">
        <v>56</v>
      </c>
      <c r="N10" s="125" t="s">
        <v>493</v>
      </c>
      <c r="O10" s="132"/>
      <c r="P10" s="128"/>
      <c r="Q10" s="128"/>
      <c r="R10" s="127"/>
      <c r="S10" s="143">
        <v>45187</v>
      </c>
      <c r="T10" s="143">
        <v>45187</v>
      </c>
      <c r="U10" s="169">
        <v>1</v>
      </c>
      <c r="V10" s="125"/>
      <c r="W10" s="125"/>
      <c r="X10" s="127"/>
      <c r="Y10" s="129">
        <v>100</v>
      </c>
      <c r="Z10" s="130">
        <v>1</v>
      </c>
      <c r="AA10" s="128"/>
      <c r="AB10" s="128"/>
      <c r="AC10" s="127"/>
      <c r="AD10" s="132"/>
      <c r="AE10" s="132"/>
      <c r="AF10" s="132"/>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31" t="s">
        <v>511</v>
      </c>
      <c r="BG10" s="131"/>
      <c r="BH10" s="131"/>
      <c r="BI10" s="125"/>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41"/>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row>
    <row r="11" spans="1:127" s="124" customFormat="1" ht="18" customHeight="1" x14ac:dyDescent="0.3">
      <c r="A11" s="114" t="s">
        <v>158</v>
      </c>
      <c r="B11" s="114">
        <v>7</v>
      </c>
      <c r="C11" s="114"/>
      <c r="D11" s="114"/>
      <c r="E11" s="114"/>
      <c r="F11" s="114"/>
      <c r="G11" s="114">
        <v>0</v>
      </c>
      <c r="H11" s="167"/>
      <c r="I11" s="168" t="s">
        <v>160</v>
      </c>
      <c r="J11" s="149" t="s">
        <v>484</v>
      </c>
      <c r="K11" s="131" t="s">
        <v>500</v>
      </c>
      <c r="L11" s="133" t="s">
        <v>159</v>
      </c>
      <c r="M11" s="126" t="s">
        <v>56</v>
      </c>
      <c r="N11" s="125" t="s">
        <v>493</v>
      </c>
      <c r="O11" s="132"/>
      <c r="P11" s="128"/>
      <c r="Q11" s="128"/>
      <c r="R11" s="127"/>
      <c r="S11" s="143">
        <v>45187</v>
      </c>
      <c r="T11" s="170">
        <v>45187</v>
      </c>
      <c r="U11" s="169">
        <v>1</v>
      </c>
      <c r="V11" s="125"/>
      <c r="W11" s="125"/>
      <c r="X11" s="127"/>
      <c r="Y11" s="129">
        <v>100</v>
      </c>
      <c r="Z11" s="130">
        <v>1</v>
      </c>
      <c r="AA11" s="128"/>
      <c r="AB11" s="128"/>
      <c r="AC11" s="127"/>
      <c r="AD11" s="132"/>
      <c r="AE11" s="132"/>
      <c r="AF11" s="132"/>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31" t="s">
        <v>512</v>
      </c>
      <c r="BG11" s="131"/>
      <c r="BH11" s="131"/>
      <c r="BI11" s="125"/>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4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row>
    <row r="12" spans="1:127" s="124" customFormat="1" ht="18" customHeight="1" x14ac:dyDescent="0.3">
      <c r="A12" s="114" t="s">
        <v>158</v>
      </c>
      <c r="B12" s="114">
        <v>2</v>
      </c>
      <c r="C12" s="114"/>
      <c r="D12" s="114"/>
      <c r="E12" s="114"/>
      <c r="F12" s="114"/>
      <c r="G12" s="114">
        <v>0</v>
      </c>
      <c r="H12" s="171"/>
      <c r="I12" s="172" t="s">
        <v>160</v>
      </c>
      <c r="J12" s="149" t="s">
        <v>485</v>
      </c>
      <c r="K12" s="131" t="s">
        <v>491</v>
      </c>
      <c r="L12" s="133" t="s">
        <v>159</v>
      </c>
      <c r="M12" s="126" t="s">
        <v>481</v>
      </c>
      <c r="N12" s="125" t="s">
        <v>496</v>
      </c>
      <c r="O12" s="132"/>
      <c r="P12" s="128"/>
      <c r="Q12" s="128"/>
      <c r="R12" s="127"/>
      <c r="S12" s="143">
        <v>45187</v>
      </c>
      <c r="T12" s="143">
        <v>45189</v>
      </c>
      <c r="U12" s="169">
        <v>3</v>
      </c>
      <c r="V12" s="125"/>
      <c r="W12" s="125"/>
      <c r="X12" s="127"/>
      <c r="Y12" s="129">
        <v>0</v>
      </c>
      <c r="Z12" s="130">
        <v>0.9</v>
      </c>
      <c r="AA12" s="128"/>
      <c r="AB12" s="128"/>
      <c r="AC12" s="127"/>
      <c r="AD12" s="132"/>
      <c r="AE12" s="132"/>
      <c r="AF12" s="132"/>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31" t="s">
        <v>513</v>
      </c>
      <c r="BG12" s="131"/>
      <c r="BH12" s="131"/>
      <c r="BI12" s="125"/>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41"/>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row>
    <row r="13" spans="1:127" s="124" customFormat="1" ht="18" customHeight="1" x14ac:dyDescent="0.3">
      <c r="A13" s="114" t="s">
        <v>158</v>
      </c>
      <c r="B13" s="114">
        <v>10</v>
      </c>
      <c r="C13" s="114"/>
      <c r="D13" s="114"/>
      <c r="E13" s="114"/>
      <c r="F13" s="114"/>
      <c r="G13" s="114">
        <v>0</v>
      </c>
      <c r="H13" s="144"/>
      <c r="I13" s="172" t="s">
        <v>160</v>
      </c>
      <c r="J13" s="149" t="s">
        <v>486</v>
      </c>
      <c r="K13" s="131" t="s">
        <v>492</v>
      </c>
      <c r="L13" s="133" t="s">
        <v>159</v>
      </c>
      <c r="M13" s="126" t="s">
        <v>58</v>
      </c>
      <c r="N13" s="125" t="s">
        <v>494</v>
      </c>
      <c r="O13" s="132"/>
      <c r="P13" s="128"/>
      <c r="Q13" s="128"/>
      <c r="R13" s="127"/>
      <c r="S13" s="143">
        <v>45189</v>
      </c>
      <c r="T13" s="170">
        <v>45189</v>
      </c>
      <c r="U13" s="169">
        <v>1</v>
      </c>
      <c r="V13" s="125"/>
      <c r="W13" s="125" t="s">
        <v>506</v>
      </c>
      <c r="X13" s="127"/>
      <c r="Y13" s="129">
        <v>0</v>
      </c>
      <c r="Z13" s="130">
        <v>0</v>
      </c>
      <c r="AA13" s="128"/>
      <c r="AB13" s="128"/>
      <c r="AC13" s="127"/>
      <c r="AD13" s="132"/>
      <c r="AE13" s="132"/>
      <c r="AF13" s="132"/>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31" t="s">
        <v>514</v>
      </c>
      <c r="BG13" s="131"/>
      <c r="BH13" s="131"/>
      <c r="BI13" s="125"/>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41"/>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row>
    <row r="14" spans="1:127" s="124" customFormat="1" ht="18" customHeight="1" x14ac:dyDescent="0.3">
      <c r="A14" s="114" t="s">
        <v>158</v>
      </c>
      <c r="B14" s="114">
        <v>12</v>
      </c>
      <c r="C14" s="114"/>
      <c r="D14" s="114"/>
      <c r="E14" s="114"/>
      <c r="F14" s="114"/>
      <c r="G14" s="114">
        <v>0</v>
      </c>
      <c r="H14" s="144"/>
      <c r="I14" s="172" t="s">
        <v>160</v>
      </c>
      <c r="J14" s="192" t="s">
        <v>487</v>
      </c>
      <c r="K14" s="193" t="s">
        <v>504</v>
      </c>
      <c r="L14" s="133" t="s">
        <v>159</v>
      </c>
      <c r="M14" s="194" t="s">
        <v>58</v>
      </c>
      <c r="N14" s="195" t="s">
        <v>499</v>
      </c>
      <c r="O14" s="196"/>
      <c r="P14" s="197"/>
      <c r="Q14" s="197"/>
      <c r="R14" s="198"/>
      <c r="S14" s="202">
        <v>45190</v>
      </c>
      <c r="T14" s="202">
        <v>45190</v>
      </c>
      <c r="U14" s="199">
        <v>1</v>
      </c>
      <c r="V14" s="195"/>
      <c r="W14" s="195"/>
      <c r="X14" s="198"/>
      <c r="Y14" s="200">
        <v>0</v>
      </c>
      <c r="Z14" s="201">
        <v>0</v>
      </c>
      <c r="AA14" s="197"/>
      <c r="AB14" s="197"/>
      <c r="AC14" s="198"/>
      <c r="AD14" s="196"/>
      <c r="AE14" s="196"/>
      <c r="AF14" s="196"/>
      <c r="AG14" s="203"/>
      <c r="AH14" s="195"/>
      <c r="AI14" s="195"/>
      <c r="AJ14" s="195"/>
      <c r="AK14" s="195"/>
      <c r="AL14" s="195"/>
      <c r="AM14" s="195"/>
      <c r="AN14" s="195"/>
      <c r="AO14" s="195"/>
      <c r="AP14" s="195"/>
      <c r="AQ14" s="195"/>
      <c r="AR14" s="195"/>
      <c r="AS14" s="195"/>
      <c r="AT14" s="195"/>
      <c r="AU14" s="195"/>
      <c r="AV14" s="195"/>
      <c r="AW14" s="195"/>
      <c r="AX14" s="195"/>
      <c r="AY14" s="195"/>
      <c r="AZ14" s="195"/>
      <c r="BA14" s="195"/>
      <c r="BB14" s="195"/>
      <c r="BC14" s="195"/>
      <c r="BD14" s="195"/>
      <c r="BE14" s="195"/>
      <c r="BF14" s="193" t="s">
        <v>515</v>
      </c>
      <c r="BG14" s="193"/>
      <c r="BH14" s="193"/>
      <c r="BI14" s="195"/>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41"/>
      <c r="CF14"/>
      <c r="CG14"/>
      <c r="CH14"/>
      <c r="CI14"/>
      <c r="CJ14"/>
      <c r="CK14"/>
      <c r="CL14"/>
      <c r="CM14"/>
      <c r="CN14"/>
      <c r="CO14"/>
      <c r="CP14"/>
      <c r="CQ14"/>
      <c r="CR14"/>
      <c r="CS14"/>
      <c r="CT14"/>
      <c r="CU14"/>
      <c r="CV14"/>
      <c r="CW14"/>
      <c r="CX14"/>
      <c r="CY14"/>
      <c r="CZ14"/>
      <c r="DA14"/>
      <c r="DB14"/>
    </row>
    <row r="15" spans="1:127" s="124" customFormat="1" ht="18" customHeight="1" x14ac:dyDescent="0.3">
      <c r="A15" s="114" t="s">
        <v>158</v>
      </c>
      <c r="B15" s="114">
        <v>13</v>
      </c>
      <c r="C15" s="114"/>
      <c r="D15" s="114"/>
      <c r="E15" s="114"/>
      <c r="F15" s="114"/>
      <c r="G15" s="114">
        <v>0</v>
      </c>
      <c r="H15" s="144"/>
      <c r="I15" s="145" t="s">
        <v>160</v>
      </c>
      <c r="J15" s="192" t="s">
        <v>488</v>
      </c>
      <c r="K15" s="193" t="s">
        <v>505</v>
      </c>
      <c r="L15" s="133" t="s">
        <v>159</v>
      </c>
      <c r="M15" s="194" t="s">
        <v>58</v>
      </c>
      <c r="N15" s="195" t="s">
        <v>499</v>
      </c>
      <c r="O15" s="196"/>
      <c r="P15" s="197"/>
      <c r="Q15" s="197"/>
      <c r="R15" s="198"/>
      <c r="S15" s="202">
        <v>45190</v>
      </c>
      <c r="T15" s="202">
        <v>45190</v>
      </c>
      <c r="U15" s="199">
        <v>1</v>
      </c>
      <c r="V15" s="195"/>
      <c r="W15" s="195"/>
      <c r="X15" s="198"/>
      <c r="Y15" s="200">
        <v>0</v>
      </c>
      <c r="Z15" s="201">
        <v>0</v>
      </c>
      <c r="AA15" s="197"/>
      <c r="AB15" s="197"/>
      <c r="AC15" s="198"/>
      <c r="AD15" s="196"/>
      <c r="AE15" s="196"/>
      <c r="AF15" s="196"/>
      <c r="AG15" s="203"/>
      <c r="AH15" s="195"/>
      <c r="AI15" s="195"/>
      <c r="AJ15" s="195"/>
      <c r="AK15" s="195"/>
      <c r="AL15" s="195"/>
      <c r="AM15" s="195"/>
      <c r="AN15" s="195"/>
      <c r="AO15" s="195"/>
      <c r="AP15" s="195"/>
      <c r="AQ15" s="195"/>
      <c r="AR15" s="195"/>
      <c r="AS15" s="195"/>
      <c r="AT15" s="195"/>
      <c r="AU15" s="195"/>
      <c r="AV15" s="195"/>
      <c r="AW15" s="195"/>
      <c r="AX15" s="195"/>
      <c r="AY15" s="195"/>
      <c r="AZ15" s="195"/>
      <c r="BA15" s="195"/>
      <c r="BB15" s="195"/>
      <c r="BC15" s="195"/>
      <c r="BD15" s="195"/>
      <c r="BE15" s="195"/>
      <c r="BF15" s="193" t="s">
        <v>516</v>
      </c>
      <c r="BG15" s="193"/>
      <c r="BH15" s="193"/>
      <c r="BI15" s="195"/>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41"/>
      <c r="CF15"/>
      <c r="CG15"/>
      <c r="CH15"/>
      <c r="CI15"/>
      <c r="CJ15"/>
      <c r="CK15"/>
      <c r="CL15"/>
      <c r="CM15"/>
      <c r="CN15"/>
      <c r="CO15"/>
      <c r="CP15"/>
      <c r="CQ15"/>
      <c r="CR15"/>
      <c r="CS15"/>
      <c r="CT15"/>
      <c r="CU15"/>
      <c r="CV15"/>
      <c r="CW15"/>
      <c r="CX15"/>
      <c r="CY15"/>
      <c r="CZ15"/>
      <c r="DA15"/>
      <c r="DB15"/>
    </row>
    <row r="16" spans="1:127" s="124" customFormat="1" ht="18" customHeight="1" x14ac:dyDescent="0.3">
      <c r="A16" s="114" t="s">
        <v>158</v>
      </c>
      <c r="B16" s="114">
        <v>11</v>
      </c>
      <c r="C16" s="114"/>
      <c r="D16" s="114"/>
      <c r="E16" s="114"/>
      <c r="F16" s="114"/>
      <c r="G16" s="114">
        <v>0</v>
      </c>
      <c r="H16" s="144"/>
      <c r="I16" s="145" t="s">
        <v>160</v>
      </c>
      <c r="J16" s="192" t="s">
        <v>489</v>
      </c>
      <c r="K16" s="193" t="s">
        <v>502</v>
      </c>
      <c r="L16" s="133" t="s">
        <v>159</v>
      </c>
      <c r="M16" s="194" t="s">
        <v>58</v>
      </c>
      <c r="N16" s="195" t="s">
        <v>503</v>
      </c>
      <c r="O16" s="196"/>
      <c r="P16" s="197"/>
      <c r="Q16" s="197"/>
      <c r="R16" s="198"/>
      <c r="S16" s="202">
        <v>45194</v>
      </c>
      <c r="T16" s="202">
        <v>45194</v>
      </c>
      <c r="U16" s="199">
        <v>1</v>
      </c>
      <c r="V16" s="195" t="s">
        <v>507</v>
      </c>
      <c r="W16" s="195"/>
      <c r="X16" s="198"/>
      <c r="Y16" s="200">
        <v>0</v>
      </c>
      <c r="Z16" s="201">
        <v>0</v>
      </c>
      <c r="AA16" s="197"/>
      <c r="AB16" s="197"/>
      <c r="AC16" s="198"/>
      <c r="AD16" s="196"/>
      <c r="AE16" s="196"/>
      <c r="AF16" s="196"/>
      <c r="AG16" s="203"/>
      <c r="AH16" s="195"/>
      <c r="AI16" s="195"/>
      <c r="AJ16" s="195"/>
      <c r="AK16" s="195"/>
      <c r="AL16" s="195"/>
      <c r="AM16" s="195"/>
      <c r="AN16" s="195"/>
      <c r="AO16" s="195"/>
      <c r="AP16" s="195"/>
      <c r="AQ16" s="195"/>
      <c r="AR16" s="195"/>
      <c r="AS16" s="195"/>
      <c r="AT16" s="195"/>
      <c r="AU16" s="195"/>
      <c r="AV16" s="195"/>
      <c r="AW16" s="195"/>
      <c r="AX16" s="195"/>
      <c r="AY16" s="195"/>
      <c r="AZ16" s="195"/>
      <c r="BA16" s="195"/>
      <c r="BB16" s="195"/>
      <c r="BC16" s="195"/>
      <c r="BD16" s="195"/>
      <c r="BE16" s="195"/>
      <c r="BF16" s="193" t="s">
        <v>517</v>
      </c>
      <c r="BG16" s="193"/>
      <c r="BH16" s="193"/>
      <c r="BI16" s="195"/>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41"/>
      <c r="CF16"/>
      <c r="CG16"/>
      <c r="CH16"/>
      <c r="CI16"/>
      <c r="CJ16"/>
      <c r="CK16"/>
      <c r="CL16"/>
      <c r="CM16"/>
      <c r="CN16"/>
      <c r="CO16"/>
      <c r="CP16"/>
      <c r="CQ16"/>
      <c r="CR16"/>
      <c r="CS16"/>
      <c r="CT16"/>
      <c r="CU16"/>
      <c r="CV16"/>
      <c r="CW16"/>
      <c r="CX16"/>
      <c r="CY16"/>
      <c r="CZ16"/>
      <c r="DA16"/>
      <c r="DB16"/>
    </row>
    <row r="17" spans="1:127" s="124" customFormat="1" ht="18" customHeight="1" x14ac:dyDescent="0.3">
      <c r="A17" s="114" t="s">
        <v>158</v>
      </c>
      <c r="B17" s="114">
        <v>5</v>
      </c>
      <c r="C17" s="114"/>
      <c r="D17" s="114"/>
      <c r="E17" s="114"/>
      <c r="F17" s="114"/>
      <c r="G17" s="114">
        <v>0</v>
      </c>
      <c r="H17" s="144"/>
      <c r="I17" s="145" t="s">
        <v>160</v>
      </c>
      <c r="J17" s="149" t="s">
        <v>490</v>
      </c>
      <c r="K17" s="131" t="s">
        <v>482</v>
      </c>
      <c r="L17" s="133" t="s">
        <v>159</v>
      </c>
      <c r="M17" s="126" t="s">
        <v>58</v>
      </c>
      <c r="N17" s="125" t="s">
        <v>499</v>
      </c>
      <c r="O17" s="132"/>
      <c r="P17" s="128"/>
      <c r="Q17" s="128"/>
      <c r="R17" s="127"/>
      <c r="S17" s="143">
        <v>45196</v>
      </c>
      <c r="T17" s="143">
        <v>45196</v>
      </c>
      <c r="U17" s="169">
        <v>1</v>
      </c>
      <c r="V17" s="125"/>
      <c r="W17" s="125"/>
      <c r="X17" s="127"/>
      <c r="Y17" s="129">
        <v>0</v>
      </c>
      <c r="Z17" s="130">
        <v>0</v>
      </c>
      <c r="AA17" s="128"/>
      <c r="AB17" s="128"/>
      <c r="AC17" s="127"/>
      <c r="AD17" s="132"/>
      <c r="AE17" s="132"/>
      <c r="AF17" s="132"/>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31" t="s">
        <v>518</v>
      </c>
      <c r="BG17" s="131"/>
      <c r="BH17" s="131"/>
      <c r="BI17" s="125"/>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41"/>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row>
    <row r="18" spans="1:127" s="124" customFormat="1" ht="18" customHeight="1" x14ac:dyDescent="0.3">
      <c r="A18" s="114" t="s">
        <v>158</v>
      </c>
      <c r="B18" s="114">
        <v>6</v>
      </c>
      <c r="C18" s="114"/>
      <c r="D18" s="114"/>
      <c r="E18" s="114"/>
      <c r="F18" s="114"/>
      <c r="G18" s="114">
        <v>0</v>
      </c>
      <c r="H18" s="144"/>
      <c r="I18" s="145" t="s">
        <v>160</v>
      </c>
      <c r="J18" s="149" t="s">
        <v>123</v>
      </c>
      <c r="K18" s="131" t="s">
        <v>480</v>
      </c>
      <c r="L18" s="133" t="s">
        <v>159</v>
      </c>
      <c r="M18" s="126" t="s">
        <v>58</v>
      </c>
      <c r="N18" s="125" t="s">
        <v>499</v>
      </c>
      <c r="O18" s="132"/>
      <c r="P18" s="128"/>
      <c r="Q18" s="128"/>
      <c r="R18" s="127"/>
      <c r="S18" s="143">
        <v>45197</v>
      </c>
      <c r="T18" s="143">
        <v>45197</v>
      </c>
      <c r="U18" s="169">
        <v>1</v>
      </c>
      <c r="V18" s="125"/>
      <c r="W18" s="125"/>
      <c r="X18" s="127"/>
      <c r="Y18" s="129">
        <v>0</v>
      </c>
      <c r="Z18" s="130">
        <v>0</v>
      </c>
      <c r="AA18" s="128"/>
      <c r="AB18" s="128"/>
      <c r="AC18" s="127"/>
      <c r="AD18" s="132"/>
      <c r="AE18" s="132"/>
      <c r="AF18" s="132"/>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31" t="s">
        <v>519</v>
      </c>
      <c r="BG18" s="131"/>
      <c r="BH18" s="131"/>
      <c r="BI18" s="125"/>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41"/>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row>
    <row r="19" spans="1:127" x14ac:dyDescent="0.3">
      <c r="H19" s="182"/>
      <c r="I19" s="182"/>
      <c r="J19" s="183"/>
      <c r="K19" s="184" t="s">
        <v>472</v>
      </c>
      <c r="L19" s="185"/>
      <c r="M19" s="182"/>
      <c r="N19" s="186"/>
      <c r="O19" s="187"/>
      <c r="P19" s="187"/>
      <c r="Q19" s="187"/>
      <c r="R19" s="187"/>
      <c r="S19" s="188"/>
      <c r="T19" s="188"/>
      <c r="U19" s="187"/>
      <c r="V19" s="186"/>
      <c r="W19" s="186"/>
      <c r="X19" s="187"/>
      <c r="Y19" s="182"/>
      <c r="Z19" s="189"/>
      <c r="AA19" s="187"/>
      <c r="AB19" s="187"/>
      <c r="AC19" s="187"/>
      <c r="AD19" s="187"/>
      <c r="AE19" s="187"/>
      <c r="AF19" s="187"/>
      <c r="AG19" s="182"/>
      <c r="AH19" s="182"/>
      <c r="AI19" s="182"/>
      <c r="AJ19" s="182"/>
      <c r="AK19" s="182"/>
      <c r="AL19" s="182"/>
      <c r="AM19" s="182"/>
      <c r="AN19" s="182"/>
      <c r="AO19" s="182"/>
      <c r="AP19" s="182"/>
      <c r="AQ19" s="182"/>
      <c r="AR19" s="182"/>
      <c r="AS19" s="182"/>
      <c r="AT19" s="182"/>
      <c r="AU19" s="182"/>
      <c r="AV19" s="182"/>
      <c r="AW19" s="182"/>
      <c r="AX19" s="182"/>
      <c r="AY19" s="182"/>
      <c r="AZ19" s="182"/>
      <c r="BA19" s="182"/>
      <c r="BB19" s="182"/>
      <c r="BC19" s="182"/>
      <c r="BD19" s="182"/>
      <c r="BE19" s="182"/>
      <c r="BF19" s="190"/>
      <c r="BG19" s="190"/>
      <c r="BH19" s="190"/>
      <c r="BI19" s="182"/>
      <c r="BJ19" s="191"/>
      <c r="BK19" s="191"/>
      <c r="BL19" s="191"/>
      <c r="BM19" s="191"/>
      <c r="BN19" s="191"/>
      <c r="BO19" s="191"/>
      <c r="BP19" s="191"/>
      <c r="BQ19" s="191"/>
      <c r="BR19" s="191"/>
      <c r="BS19" s="191"/>
      <c r="BT19" s="191"/>
      <c r="BU19" s="191"/>
      <c r="BV19" s="191"/>
      <c r="BW19" s="191"/>
      <c r="BX19" s="191"/>
      <c r="BY19" s="191"/>
      <c r="BZ19" s="191"/>
      <c r="CA19" s="191"/>
      <c r="CB19" s="191"/>
      <c r="CC19" s="191"/>
      <c r="CD19" s="191"/>
    </row>
  </sheetData>
  <conditionalFormatting sqref="Z10:Z18">
    <cfRule type="dataBar" priority="2">
      <dataBar>
        <cfvo type="min"/>
        <cfvo type="max"/>
        <color rgb="FF92D050"/>
      </dataBar>
      <extLst>
        <ext xmlns:x14="http://schemas.microsoft.com/office/spreadsheetml/2009/9/main" uri="{B025F937-C7B1-47D3-B67F-A62EFF666E3E}">
          <x14:id>{7C85ACE0-3EEB-4E32-9908-FD8E964708B2}</x14:id>
        </ext>
      </extLst>
    </cfRule>
  </conditionalFormatting>
  <pageMargins left="0.7" right="0.7" top="0.75" bottom="0.75" header="0.3" footer="0.3"/>
  <pageSetup orientation="portrait" r:id="rId1"/>
  <ignoredErrors>
    <ignoredError sqref="J10:J18" numberStoredAsText="1"/>
  </ignoredErrors>
  <drawing r:id="rId2"/>
  <extLst>
    <ext xmlns:x14="http://schemas.microsoft.com/office/spreadsheetml/2009/9/main" uri="{78C0D931-6437-407d-A8EE-F0AAD7539E65}">
      <x14:conditionalFormattings>
        <x14:conditionalFormatting xmlns:xm="http://schemas.microsoft.com/office/excel/2006/main">
          <x14:cfRule type="dataBar" id="{7C85ACE0-3EEB-4E32-9908-FD8E964708B2}">
            <x14:dataBar minLength="0" maxLength="100" negativeBarColorSameAsPositive="1" axisPosition="none">
              <x14:cfvo type="autoMin"/>
              <x14:cfvo type="autoMax"/>
            </x14:dataBar>
          </x14:cfRule>
          <xm:sqref>Z10:Z18</xm:sqref>
        </x14:conditionalFormatting>
        <x14:conditionalFormatting xmlns:xm="http://schemas.microsoft.com/office/excel/2006/main">
          <x14:cfRule type="iconSet" priority="1" id="{493C67FB-0ECD-4234-938F-CB47E06FA778}">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6640625" defaultRowHeight="14.4" x14ac:dyDescent="0.3"/>
  <cols>
    <col min="1" max="1" width="9.33203125" customWidth="1"/>
    <col min="2" max="2" width="1" customWidth="1"/>
    <col min="3" max="3" width="6.33203125" customWidth="1"/>
    <col min="4" max="4" width="1.33203125" customWidth="1"/>
    <col min="5" max="18" width="9.33203125" customWidth="1"/>
    <col min="19" max="19" width="8.33203125" customWidth="1"/>
    <col min="20" max="21" width="9.33203125" customWidth="1"/>
    <col min="22" max="22" width="2" customWidth="1"/>
    <col min="23" max="23" width="0.6640625" customWidth="1"/>
    <col min="24" max="61" width="9.33203125" customWidth="1"/>
  </cols>
  <sheetData>
    <row r="2" spans="2:23 15055:15056" ht="5.25" customHeight="1" x14ac:dyDescent="0.3">
      <c r="B2" s="9"/>
      <c r="C2" s="9" t="s">
        <v>2</v>
      </c>
      <c r="D2" s="9"/>
      <c r="E2" s="9"/>
      <c r="F2" s="9"/>
      <c r="G2" s="9"/>
      <c r="H2" s="9"/>
      <c r="I2" s="9"/>
      <c r="J2" s="9"/>
      <c r="K2" s="9"/>
      <c r="L2" s="9"/>
      <c r="M2" s="9"/>
      <c r="N2" s="9"/>
      <c r="O2" s="9"/>
      <c r="P2" s="9"/>
      <c r="Q2" s="9"/>
      <c r="R2" s="9"/>
      <c r="S2" s="9"/>
      <c r="T2" s="9"/>
      <c r="U2" s="9"/>
      <c r="V2" s="9"/>
      <c r="W2" s="9"/>
    </row>
    <row r="3" spans="2:23 15055:15056" ht="15" customHeight="1" x14ac:dyDescent="0.3">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3">
      <c r="B4" s="9"/>
      <c r="C4" s="1"/>
      <c r="D4" s="1"/>
      <c r="H4" s="166" t="s">
        <v>152</v>
      </c>
      <c r="I4" s="166"/>
      <c r="J4" s="166"/>
      <c r="K4" s="166"/>
      <c r="L4" s="166"/>
      <c r="M4" s="166"/>
      <c r="N4" s="166"/>
      <c r="O4" s="166"/>
      <c r="P4" s="166"/>
      <c r="Q4" s="166"/>
      <c r="R4" s="166"/>
      <c r="S4" s="166"/>
      <c r="T4" s="1"/>
      <c r="U4" s="1"/>
      <c r="V4" s="1"/>
      <c r="W4" s="9"/>
    </row>
    <row r="5" spans="2:23 15055:15056" ht="15" customHeight="1" x14ac:dyDescent="0.7">
      <c r="B5" s="9"/>
      <c r="C5" s="1"/>
      <c r="D5" s="1" t="s">
        <v>421</v>
      </c>
      <c r="G5" s="23"/>
      <c r="H5" s="166"/>
      <c r="I5" s="166"/>
      <c r="J5" s="166"/>
      <c r="K5" s="166"/>
      <c r="L5" s="166"/>
      <c r="M5" s="166"/>
      <c r="N5" s="166"/>
      <c r="O5" s="166"/>
      <c r="P5" s="166"/>
      <c r="Q5" s="166"/>
      <c r="R5" s="166"/>
      <c r="S5" s="166"/>
      <c r="W5" s="9"/>
    </row>
    <row r="6" spans="2:23 15055:15056" ht="35.700000000000003" customHeight="1" x14ac:dyDescent="0.3">
      <c r="B6" s="9"/>
      <c r="C6" s="1"/>
      <c r="D6" s="1"/>
      <c r="K6" s="13"/>
      <c r="L6" s="13"/>
      <c r="M6" s="13"/>
      <c r="N6" s="13"/>
      <c r="O6" s="13"/>
      <c r="P6" s="13"/>
      <c r="Q6" s="1"/>
      <c r="R6" s="1"/>
      <c r="S6" s="14"/>
      <c r="T6" s="1"/>
      <c r="U6" s="1"/>
      <c r="V6" s="1"/>
      <c r="W6" s="9"/>
    </row>
    <row r="7" spans="2:23 15055:15056" ht="15" customHeight="1" x14ac:dyDescent="0.3">
      <c r="B7" s="9"/>
      <c r="C7" s="15" t="s">
        <v>420</v>
      </c>
      <c r="D7" s="1"/>
      <c r="K7" s="13"/>
      <c r="L7" s="13"/>
      <c r="M7" s="13"/>
      <c r="N7" s="13"/>
      <c r="O7" s="13"/>
      <c r="P7" s="13"/>
      <c r="Q7" s="1"/>
      <c r="R7" s="1"/>
      <c r="S7" s="14"/>
      <c r="T7" s="1"/>
      <c r="U7" s="1"/>
      <c r="V7" s="1"/>
      <c r="W7" s="9"/>
    </row>
    <row r="8" spans="2:23 15055:15056" ht="4.2" customHeight="1" x14ac:dyDescent="0.3">
      <c r="B8" s="9"/>
      <c r="C8" s="9"/>
      <c r="D8" s="9"/>
      <c r="E8" s="9"/>
      <c r="F8" s="9"/>
      <c r="G8" s="9"/>
      <c r="H8" s="9"/>
      <c r="I8" s="9"/>
      <c r="J8" s="9"/>
      <c r="K8" s="16"/>
      <c r="L8" s="16"/>
      <c r="M8" s="16"/>
      <c r="N8" s="16"/>
      <c r="O8" s="16"/>
      <c r="P8" s="16"/>
      <c r="Q8" s="9"/>
      <c r="R8" s="9"/>
      <c r="S8" s="17"/>
      <c r="T8" s="9"/>
      <c r="U8" s="9"/>
      <c r="V8" s="9"/>
      <c r="W8" s="9"/>
    </row>
    <row r="9" spans="2:23 15055:15056" ht="45.75" customHeight="1" x14ac:dyDescent="0.3">
      <c r="B9" s="9"/>
      <c r="G9" s="165" t="s">
        <v>1</v>
      </c>
      <c r="H9" s="165"/>
      <c r="I9" s="165"/>
      <c r="J9" s="165"/>
      <c r="K9" s="165"/>
      <c r="L9" s="165"/>
      <c r="M9" s="165"/>
      <c r="N9" s="165"/>
      <c r="O9" s="165"/>
      <c r="P9" s="165"/>
      <c r="Q9" s="165"/>
      <c r="R9" s="165"/>
      <c r="S9" s="165"/>
      <c r="W9" s="9"/>
    </row>
    <row r="10" spans="2:23 15055:15056" ht="15" customHeight="1" x14ac:dyDescent="0.35">
      <c r="B10" s="9"/>
      <c r="C10">
        <v>1</v>
      </c>
      <c r="D10" s="18">
        <v>1</v>
      </c>
      <c r="E10" s="19" t="s">
        <v>80</v>
      </c>
      <c r="F10" s="1"/>
      <c r="G10" s="165"/>
      <c r="H10" s="165"/>
      <c r="I10" s="165"/>
      <c r="J10" s="165"/>
      <c r="K10" s="165"/>
      <c r="L10" s="165"/>
      <c r="M10" s="165"/>
      <c r="N10" s="165"/>
      <c r="O10" s="165"/>
      <c r="P10" s="165"/>
      <c r="Q10" s="165"/>
      <c r="R10" s="165"/>
      <c r="S10" s="165"/>
      <c r="T10" s="20"/>
      <c r="U10" s="20"/>
      <c r="V10" s="20"/>
      <c r="W10" s="9"/>
    </row>
    <row r="11" spans="2:23 15055:15056" ht="15" customHeight="1" x14ac:dyDescent="0.3">
      <c r="B11" s="9"/>
      <c r="E11" s="163" t="s">
        <v>70</v>
      </c>
      <c r="F11" s="164"/>
      <c r="G11" s="164"/>
      <c r="H11" s="164"/>
      <c r="I11" s="164"/>
      <c r="W11" s="9"/>
    </row>
    <row r="12" spans="2:23 15055:15056" ht="15" customHeight="1" x14ac:dyDescent="0.3">
      <c r="B12" s="9"/>
      <c r="W12" s="9"/>
    </row>
    <row r="13" spans="2:23 15055:15056" ht="15" customHeight="1" x14ac:dyDescent="0.35">
      <c r="B13" s="9"/>
      <c r="C13">
        <v>2</v>
      </c>
      <c r="E13" s="19" t="s">
        <v>153</v>
      </c>
      <c r="W13" s="9"/>
    </row>
    <row r="14" spans="2:23 15055:15056" ht="15" customHeight="1" x14ac:dyDescent="0.3">
      <c r="B14" s="9"/>
      <c r="W14" s="9"/>
    </row>
    <row r="15" spans="2:23 15055:15056" ht="15" customHeight="1" x14ac:dyDescent="0.3">
      <c r="B15" s="9"/>
      <c r="W15" s="9"/>
    </row>
    <row r="16" spans="2:23 15055:15056" ht="15" customHeight="1" x14ac:dyDescent="0.3">
      <c r="B16" s="9"/>
      <c r="W16" s="9"/>
    </row>
    <row r="17" spans="2:23" ht="15" customHeight="1" x14ac:dyDescent="0.3">
      <c r="B17" s="9"/>
      <c r="W17" s="9"/>
    </row>
    <row r="18" spans="2:23" ht="15" customHeight="1" x14ac:dyDescent="0.3">
      <c r="B18" s="9"/>
      <c r="W18" s="9"/>
    </row>
    <row r="19" spans="2:23" ht="15" customHeight="1" x14ac:dyDescent="0.3">
      <c r="B19" s="9"/>
      <c r="W19" s="9"/>
    </row>
    <row r="20" spans="2:23" ht="15" customHeight="1" x14ac:dyDescent="0.3">
      <c r="B20" s="9"/>
      <c r="W20" s="9"/>
    </row>
    <row r="21" spans="2:23" ht="15" customHeight="1" x14ac:dyDescent="0.3">
      <c r="B21" s="9"/>
      <c r="W21" s="9"/>
    </row>
    <row r="22" spans="2:23" ht="15" customHeight="1" x14ac:dyDescent="0.3">
      <c r="B22" s="9"/>
      <c r="E22" s="163" t="s">
        <v>419</v>
      </c>
      <c r="F22" s="164"/>
      <c r="G22" s="164"/>
      <c r="H22" s="164"/>
      <c r="W22" s="9"/>
    </row>
    <row r="23" spans="2:23" ht="15" customHeight="1" x14ac:dyDescent="0.3">
      <c r="B23" s="9"/>
      <c r="E23" s="163" t="s">
        <v>0</v>
      </c>
      <c r="F23" s="164"/>
      <c r="G23" s="164"/>
      <c r="H23" s="164"/>
      <c r="W23" s="9"/>
    </row>
    <row r="24" spans="2:23" ht="15" customHeight="1" x14ac:dyDescent="0.3">
      <c r="B24" s="9"/>
      <c r="W24" s="9"/>
    </row>
    <row r="25" spans="2:23" ht="3.75" customHeight="1" x14ac:dyDescent="0.3">
      <c r="B25" s="9"/>
      <c r="C25" s="9"/>
      <c r="D25" s="9"/>
      <c r="E25" s="9"/>
      <c r="F25" s="9"/>
      <c r="G25" s="9"/>
      <c r="H25" s="9"/>
      <c r="I25" s="9"/>
      <c r="J25" s="9"/>
      <c r="K25" s="9"/>
      <c r="L25" s="9"/>
      <c r="M25" s="9"/>
      <c r="N25" s="9"/>
      <c r="O25" s="9"/>
      <c r="P25" s="9"/>
      <c r="Q25" s="9"/>
      <c r="R25" s="9"/>
      <c r="S25" s="9"/>
      <c r="T25" s="9"/>
      <c r="U25" s="9"/>
      <c r="V25" s="9"/>
      <c r="W25" s="9"/>
    </row>
    <row r="26" spans="2:23" ht="15" customHeight="1" x14ac:dyDescent="0.3"/>
    <row r="31" spans="2:23" x14ac:dyDescent="0.3">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36071402-3499-45C9-88DA-15352DE80655}"/>
    <hyperlink ref="E22" r:id="rId2" tooltip="Quick Start Guide" xr:uid="{888892ED-4F14-4C3B-A22D-AE13BE228C0C}"/>
    <hyperlink ref="E23" r:id="rId3" tooltip="Click Here For Documentation" xr:uid="{BCFF2BE5-28A2-45B5-814A-D67083220E0E}"/>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dimension ref="A1:T10"/>
  <sheetViews>
    <sheetView workbookViewId="0"/>
  </sheetViews>
  <sheetFormatPr defaultRowHeight="14.4" x14ac:dyDescent="0.3"/>
  <sheetData>
    <row r="1" spans="1:20" x14ac:dyDescent="0.3">
      <c r="A1" t="s">
        <v>216</v>
      </c>
      <c r="B1" t="s">
        <v>426</v>
      </c>
      <c r="C1" t="s">
        <v>427</v>
      </c>
      <c r="D1" t="s">
        <v>428</v>
      </c>
      <c r="K1" t="s">
        <v>429</v>
      </c>
      <c r="L1" t="s">
        <v>430</v>
      </c>
      <c r="M1" t="s">
        <v>431</v>
      </c>
      <c r="N1" t="s">
        <v>432</v>
      </c>
      <c r="O1" t="s">
        <v>433</v>
      </c>
      <c r="P1" t="s">
        <v>434</v>
      </c>
      <c r="Q1" t="s">
        <v>435</v>
      </c>
      <c r="R1" t="s">
        <v>436</v>
      </c>
      <c r="S1" t="s">
        <v>437</v>
      </c>
      <c r="T1" t="s">
        <v>438</v>
      </c>
    </row>
    <row r="2" spans="1:20" x14ac:dyDescent="0.3">
      <c r="A2" t="s">
        <v>439</v>
      </c>
      <c r="C2" t="b">
        <v>0</v>
      </c>
      <c r="E2" s="18" t="s">
        <v>440</v>
      </c>
      <c r="K2" s="113">
        <v>0.375</v>
      </c>
      <c r="L2" s="113">
        <v>0.75</v>
      </c>
      <c r="M2">
        <v>0</v>
      </c>
      <c r="N2">
        <v>1</v>
      </c>
      <c r="O2">
        <v>1</v>
      </c>
      <c r="P2">
        <v>1</v>
      </c>
      <c r="Q2">
        <v>1</v>
      </c>
      <c r="R2">
        <v>1</v>
      </c>
      <c r="S2">
        <v>0</v>
      </c>
    </row>
    <row r="3" spans="1:20" x14ac:dyDescent="0.3">
      <c r="A3" t="s">
        <v>493</v>
      </c>
      <c r="B3">
        <v>0</v>
      </c>
      <c r="C3" t="b">
        <v>1</v>
      </c>
      <c r="K3">
        <v>0.375</v>
      </c>
      <c r="L3">
        <v>0.75</v>
      </c>
      <c r="M3">
        <v>0</v>
      </c>
      <c r="N3">
        <v>1</v>
      </c>
      <c r="O3">
        <v>1</v>
      </c>
      <c r="P3">
        <v>1</v>
      </c>
      <c r="Q3">
        <v>1</v>
      </c>
      <c r="R3">
        <v>1</v>
      </c>
      <c r="S3">
        <v>0</v>
      </c>
    </row>
    <row r="4" spans="1:20" x14ac:dyDescent="0.3">
      <c r="A4" t="s">
        <v>494</v>
      </c>
      <c r="B4">
        <v>0</v>
      </c>
      <c r="C4" t="b">
        <v>1</v>
      </c>
      <c r="K4">
        <v>0.375</v>
      </c>
      <c r="L4">
        <v>0.75</v>
      </c>
      <c r="M4">
        <v>0</v>
      </c>
      <c r="N4">
        <v>1</v>
      </c>
      <c r="O4">
        <v>1</v>
      </c>
      <c r="P4">
        <v>1</v>
      </c>
      <c r="Q4">
        <v>1</v>
      </c>
      <c r="R4">
        <v>1</v>
      </c>
      <c r="S4">
        <v>0</v>
      </c>
    </row>
    <row r="5" spans="1:20" x14ac:dyDescent="0.3">
      <c r="A5" t="s">
        <v>495</v>
      </c>
      <c r="B5">
        <v>0</v>
      </c>
      <c r="C5" t="b">
        <v>1</v>
      </c>
      <c r="K5">
        <v>0.375</v>
      </c>
      <c r="L5">
        <v>0.75</v>
      </c>
      <c r="M5">
        <v>0</v>
      </c>
      <c r="N5">
        <v>1</v>
      </c>
      <c r="O5">
        <v>1</v>
      </c>
      <c r="P5">
        <v>1</v>
      </c>
      <c r="Q5">
        <v>1</v>
      </c>
      <c r="R5">
        <v>1</v>
      </c>
      <c r="S5">
        <v>0</v>
      </c>
    </row>
    <row r="6" spans="1:20" x14ac:dyDescent="0.3">
      <c r="A6" t="s">
        <v>496</v>
      </c>
      <c r="B6">
        <v>0</v>
      </c>
      <c r="C6" t="b">
        <v>1</v>
      </c>
      <c r="K6">
        <v>0.375</v>
      </c>
      <c r="L6">
        <v>0.75</v>
      </c>
      <c r="M6">
        <v>0</v>
      </c>
      <c r="N6">
        <v>1</v>
      </c>
      <c r="O6">
        <v>1</v>
      </c>
      <c r="P6">
        <v>1</v>
      </c>
      <c r="Q6">
        <v>1</v>
      </c>
      <c r="R6">
        <v>1</v>
      </c>
      <c r="S6">
        <v>0</v>
      </c>
    </row>
    <row r="7" spans="1:20" x14ac:dyDescent="0.3">
      <c r="A7" t="s">
        <v>497</v>
      </c>
      <c r="C7" t="b">
        <v>1</v>
      </c>
      <c r="K7">
        <v>0.375</v>
      </c>
      <c r="L7">
        <v>0.75</v>
      </c>
      <c r="M7">
        <v>0</v>
      </c>
      <c r="N7">
        <v>1</v>
      </c>
      <c r="O7">
        <v>1</v>
      </c>
      <c r="P7">
        <v>1</v>
      </c>
      <c r="Q7">
        <v>1</v>
      </c>
      <c r="R7">
        <v>1</v>
      </c>
      <c r="S7">
        <v>0</v>
      </c>
    </row>
    <row r="8" spans="1:20" x14ac:dyDescent="0.3">
      <c r="A8" t="s">
        <v>498</v>
      </c>
      <c r="C8" t="b">
        <v>1</v>
      </c>
      <c r="K8">
        <v>0.375</v>
      </c>
      <c r="L8">
        <v>0.75</v>
      </c>
      <c r="M8">
        <v>0</v>
      </c>
      <c r="N8">
        <v>1</v>
      </c>
      <c r="O8">
        <v>1</v>
      </c>
      <c r="P8">
        <v>1</v>
      </c>
      <c r="Q8">
        <v>1</v>
      </c>
      <c r="R8">
        <v>1</v>
      </c>
      <c r="S8">
        <v>0</v>
      </c>
    </row>
    <row r="9" spans="1:20" x14ac:dyDescent="0.3">
      <c r="A9" t="s">
        <v>499</v>
      </c>
      <c r="C9" t="b">
        <v>1</v>
      </c>
      <c r="K9">
        <v>0.375</v>
      </c>
      <c r="L9">
        <v>0.75</v>
      </c>
      <c r="M9">
        <v>0</v>
      </c>
      <c r="N9">
        <v>1</v>
      </c>
      <c r="O9">
        <v>1</v>
      </c>
      <c r="P9">
        <v>1</v>
      </c>
      <c r="Q9">
        <v>1</v>
      </c>
      <c r="R9">
        <v>1</v>
      </c>
      <c r="S9">
        <v>0</v>
      </c>
    </row>
    <row r="10" spans="1:20" x14ac:dyDescent="0.3">
      <c r="A10" t="s">
        <v>501</v>
      </c>
      <c r="C10" t="b">
        <v>1</v>
      </c>
      <c r="K10">
        <v>0.375</v>
      </c>
      <c r="L10">
        <v>0.75</v>
      </c>
      <c r="M10">
        <v>0</v>
      </c>
      <c r="N10">
        <v>1</v>
      </c>
      <c r="O10">
        <v>1</v>
      </c>
      <c r="P10">
        <v>1</v>
      </c>
      <c r="Q10">
        <v>1</v>
      </c>
      <c r="R10">
        <v>1</v>
      </c>
      <c r="S1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dimension ref="A1:DB7"/>
  <sheetViews>
    <sheetView workbookViewId="0"/>
  </sheetViews>
  <sheetFormatPr defaultRowHeight="14.4" x14ac:dyDescent="0.3"/>
  <sheetData>
    <row r="1" spans="1:106"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3">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20</v>
      </c>
      <c r="BV2">
        <v>2</v>
      </c>
      <c r="BW2">
        <v>1</v>
      </c>
      <c r="BX2">
        <v>1</v>
      </c>
      <c r="BY2">
        <v>1</v>
      </c>
      <c r="BZ2">
        <v>1</v>
      </c>
      <c r="CA2">
        <v>3</v>
      </c>
      <c r="CB2">
        <v>3</v>
      </c>
      <c r="CC2">
        <v>6</v>
      </c>
      <c r="CD2">
        <v>8</v>
      </c>
      <c r="CE2">
        <v>10</v>
      </c>
      <c r="CF2">
        <v>12</v>
      </c>
      <c r="CG2">
        <v>15</v>
      </c>
      <c r="CH2" t="b">
        <v>1</v>
      </c>
      <c r="CI2" s="2" t="b">
        <v>1</v>
      </c>
      <c r="CJ2" s="76">
        <v>45187</v>
      </c>
      <c r="CK2" s="76">
        <v>45207</v>
      </c>
      <c r="CL2" t="s">
        <v>471</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Joel Demontigny</cp:lastModifiedBy>
  <cp:revision>0</cp:revision>
  <cp:lastPrinted>2022-02-09T18:07:13Z</cp:lastPrinted>
  <dcterms:created xsi:type="dcterms:W3CDTF">2016-09-10T13:03:48Z</dcterms:created>
  <dcterms:modified xsi:type="dcterms:W3CDTF">2023-09-19T01:07:49Z</dcterms:modified>
  <cp:category>Excel Template</cp:category>
  <cp:version>3.0</cp:version>
</cp:coreProperties>
</file>